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\Downloads\Rheometer\"/>
    </mc:Choice>
  </mc:AlternateContent>
  <bookViews>
    <workbookView xWindow="1170" yWindow="1170" windowWidth="21600" windowHeight="11325" tabRatio="555"/>
  </bookViews>
  <sheets>
    <sheet name="Daily Tastings Plan" sheetId="1" r:id="rId1"/>
    <sheet name="Choose the Sweetest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H14" i="2" l="1"/>
  <c r="H12" i="2"/>
  <c r="D51" i="2" l="1"/>
  <c r="Y12" i="2"/>
  <c r="E51" i="2" l="1"/>
  <c r="A1" i="2" l="1"/>
  <c r="B1" i="2" s="1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V11" i="2"/>
  <c r="Y10" i="2" s="1"/>
  <c r="W12" i="2"/>
  <c r="E52" i="2" l="1"/>
  <c r="Y3" i="2"/>
  <c r="Y4" i="2" s="1"/>
  <c r="D52" i="2"/>
  <c r="W17" i="2"/>
  <c r="W18" i="2" s="1"/>
  <c r="W15" i="2"/>
  <c r="W5" i="2"/>
  <c r="W6" i="2" s="1"/>
  <c r="W3" i="2"/>
  <c r="W4" i="2" s="1"/>
  <c r="W7" i="2"/>
  <c r="W8" i="2" s="1"/>
  <c r="W13" i="2"/>
  <c r="W14" i="2" s="1"/>
  <c r="Y17" i="2"/>
  <c r="Z20" i="2" s="1"/>
  <c r="Y5" i="2"/>
  <c r="Y6" i="2" s="1"/>
  <c r="W16" i="2"/>
  <c r="Y7" i="2"/>
  <c r="Y8" i="2" s="1"/>
  <c r="F51" i="2"/>
  <c r="Y18" i="2"/>
  <c r="Y15" i="2"/>
  <c r="Y16" i="2" s="1"/>
  <c r="Y13" i="2"/>
  <c r="Y14" i="2" s="1"/>
  <c r="G51" i="2" l="1"/>
</calcChain>
</file>

<file path=xl/sharedStrings.xml><?xml version="1.0" encoding="utf-8"?>
<sst xmlns="http://schemas.openxmlformats.org/spreadsheetml/2006/main" count="150" uniqueCount="102">
  <si>
    <t>DATE</t>
  </si>
  <si>
    <t>TASTING TYPE</t>
  </si>
  <si>
    <t>SAMPLES INFORMATION</t>
  </si>
  <si>
    <t>PANEL</t>
  </si>
  <si>
    <t>CHOOSE THE SWEETEST</t>
  </si>
  <si>
    <t>SCALE RATING</t>
  </si>
  <si>
    <t>#</t>
  </si>
  <si>
    <t>TIME</t>
  </si>
  <si>
    <t>Recipe Code</t>
  </si>
  <si>
    <t>SAMPLE</t>
  </si>
  <si>
    <t>CONTROL</t>
  </si>
  <si>
    <t>REF</t>
  </si>
  <si>
    <t>DM</t>
  </si>
  <si>
    <t>REFERENCE (FILLER)</t>
  </si>
  <si>
    <t>PB1000</t>
  </si>
  <si>
    <t>MON3000</t>
  </si>
  <si>
    <t>GU2000</t>
  </si>
  <si>
    <t>Orafti</t>
  </si>
  <si>
    <t>Nutriose</t>
  </si>
  <si>
    <t>Maltodextrine</t>
  </si>
  <si>
    <t>Polydextrose</t>
  </si>
  <si>
    <t>CB2000</t>
  </si>
  <si>
    <t>Cereal Bars</t>
  </si>
  <si>
    <t>Fibersol</t>
  </si>
  <si>
    <t>DC2000</t>
  </si>
  <si>
    <t>Dark Chocolate</t>
  </si>
  <si>
    <t>None</t>
  </si>
  <si>
    <t>Gummies</t>
  </si>
  <si>
    <t xml:space="preserve">Full DM </t>
  </si>
  <si>
    <t>F97+CPPro70</t>
  </si>
  <si>
    <t>Montecao</t>
  </si>
  <si>
    <t>Combined</t>
  </si>
  <si>
    <t>Fibrulose F97</t>
  </si>
  <si>
    <t>Full</t>
  </si>
  <si>
    <t>MC5001</t>
  </si>
  <si>
    <t>Milk Chocolate</t>
  </si>
  <si>
    <t>Reduced</t>
  </si>
  <si>
    <t>Inulin</t>
  </si>
  <si>
    <t>NU1000</t>
  </si>
  <si>
    <t>Nutella</t>
  </si>
  <si>
    <t>Full sugar</t>
  </si>
  <si>
    <t>NS</t>
  </si>
  <si>
    <t>Petit Beurre</t>
  </si>
  <si>
    <t>Samples right</t>
  </si>
  <si>
    <t>Samples left</t>
  </si>
  <si>
    <t>Panel</t>
  </si>
  <si>
    <t>Fillers</t>
  </si>
  <si>
    <t>Reduction</t>
  </si>
  <si>
    <t>Recipes</t>
  </si>
  <si>
    <t>Applications</t>
  </si>
  <si>
    <t>REPEAT TASTING INFORMATION</t>
  </si>
  <si>
    <t>%</t>
  </si>
  <si>
    <t>TOTAL</t>
  </si>
  <si>
    <t>Marginal</t>
  </si>
  <si>
    <t>two-tailed</t>
  </si>
  <si>
    <t>p=0.2</t>
  </si>
  <si>
    <t>one-tailed</t>
  </si>
  <si>
    <t>SAMPLE:</t>
  </si>
  <si>
    <t>p=0.1</t>
  </si>
  <si>
    <t>SAMPLE CODE:</t>
  </si>
  <si>
    <t>p=0.05</t>
  </si>
  <si>
    <t>RECIPE:</t>
  </si>
  <si>
    <t>PANEL:</t>
  </si>
  <si>
    <t>OWNER:</t>
  </si>
  <si>
    <t>FILLER:</t>
  </si>
  <si>
    <t>APPLICATION:</t>
  </si>
  <si>
    <t>DIFFERENCE</t>
  </si>
  <si>
    <t>SIMILARITY</t>
  </si>
  <si>
    <t>REDUCTION:</t>
  </si>
  <si>
    <t>DID EVERYONE VOTE?</t>
  </si>
  <si>
    <t>$&amp;!</t>
  </si>
  <si>
    <t>AVERAGE</t>
  </si>
  <si>
    <t>Difference in sweetness</t>
  </si>
  <si>
    <t>Comments</t>
  </si>
  <si>
    <t>DATE OF PREP:</t>
  </si>
  <si>
    <t>Internal Coding &amp; Application</t>
  </si>
  <si>
    <t>Date of Tasting</t>
  </si>
  <si>
    <t>Type of Tasting</t>
  </si>
  <si>
    <t>Samples in test</t>
  </si>
  <si>
    <t>Number of tasters</t>
  </si>
  <si>
    <t>Choose the Sweetest</t>
  </si>
  <si>
    <t>Scale Rating - FULL PANEL</t>
  </si>
  <si>
    <t>Scale Rating - W/O OUTLIERS</t>
  </si>
  <si>
    <t>Significance?</t>
  </si>
  <si>
    <t>SD</t>
  </si>
  <si>
    <t>MAC1</t>
  </si>
  <si>
    <t>R</t>
  </si>
  <si>
    <t>NU5100</t>
  </si>
  <si>
    <t>QC</t>
  </si>
  <si>
    <t>S1SZCRK-113</t>
  </si>
  <si>
    <t>S1SZCRK-108</t>
  </si>
  <si>
    <t>Manual 1 QC</t>
  </si>
  <si>
    <t>Manual 2 QC</t>
  </si>
  <si>
    <t>REDUCTION (%)</t>
  </si>
  <si>
    <t>S1LNF11</t>
  </si>
  <si>
    <t>S379</t>
  </si>
  <si>
    <t>S1CRK110</t>
  </si>
  <si>
    <t>S9F-72</t>
  </si>
  <si>
    <t>S1CRK109</t>
  </si>
  <si>
    <t>S1LNF</t>
  </si>
  <si>
    <t>S281</t>
  </si>
  <si>
    <t>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</si>
</sst>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1" x14ac:knownFonts="1">
    <font>
      <sz val="10"/>
      <color rgb="FF000000"/>
      <name val="Arial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sz val="14"/>
      <color rgb="FF000000"/>
      <name val="Times New Roman"/>
      <family val="1"/>
    </font>
    <font>
      <sz val="1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0"/>
      <color indexed="8"/>
      <name val="Helvetica"/>
      <family val="2"/>
    </font>
    <font>
      <sz val="20"/>
      <color indexed="8"/>
      <name val="Arial"/>
      <family val="2"/>
    </font>
    <font>
      <sz val="11"/>
      <color indexed="8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20"/>
      <color theme="1"/>
      <name val="Arial"/>
      <family val="2"/>
    </font>
    <font>
      <b/>
      <sz val="22"/>
      <color theme="1"/>
      <name val="Arial"/>
      <family val="2"/>
    </font>
    <font>
      <b/>
      <sz val="22"/>
      <color indexed="8"/>
      <name val="Arial"/>
      <family val="2"/>
    </font>
    <font>
      <b/>
      <u/>
      <sz val="16"/>
      <color theme="1"/>
      <name val="Arial"/>
      <family val="2"/>
      <scheme val="minor"/>
    </font>
    <font>
      <b/>
      <sz val="26"/>
      <color theme="1"/>
      <name val="Arial"/>
      <family val="2"/>
    </font>
    <font>
      <b/>
      <sz val="11"/>
      <color indexed="8"/>
      <name val="Arial"/>
      <family val="2"/>
    </font>
    <font>
      <sz val="16"/>
      <color theme="1"/>
      <name val="Arial"/>
      <family val="2"/>
      <scheme val="minor"/>
    </font>
    <font>
      <b/>
      <sz val="16"/>
      <name val="Arial"/>
      <family val="2"/>
      <scheme val="minor"/>
    </font>
    <font>
      <sz val="22"/>
      <color indexed="8"/>
      <name val="Arial"/>
      <family val="2"/>
    </font>
    <font>
      <sz val="14"/>
      <color theme="1"/>
      <name val="Arial"/>
      <family val="2"/>
      <scheme val="minor"/>
    </font>
    <font>
      <b/>
      <sz val="12"/>
      <name val="Arial"/>
      <family val="2"/>
      <scheme val="minor"/>
    </font>
    <font>
      <b/>
      <sz val="11"/>
      <name val="Arial"/>
      <family val="2"/>
    </font>
    <font>
      <b/>
      <sz val="20"/>
      <color theme="1"/>
      <name val="Arial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  <scheme val="minor"/>
    </font>
    <font>
      <sz val="8"/>
      <name val="Arial"/>
      <family val="2"/>
    </font>
    <font>
      <sz val="11"/>
      <color rgb="FF000000"/>
      <name val="Arial"/>
      <family val="2"/>
    </font>
    <font>
      <sz val="11"/>
      <name val="Arial"/>
      <family val="2"/>
    </font>
    <font>
      <b/>
      <sz val="10"/>
      <name val="Arial"/>
      <family val="2"/>
      <scheme val="minor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666666"/>
        <bgColor rgb="FF666666"/>
      </patternFill>
    </fill>
    <fill>
      <patternFill patternType="solid">
        <fgColor rgb="FFEFEFEF"/>
        <bgColor rgb="FFEFEFEF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5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6" fillId="0" borderId="0"/>
    <xf numFmtId="0" fontId="13" fillId="0" borderId="0" applyNumberFormat="0" applyFill="0" applyBorder="0" applyProtection="0">
      <alignment vertical="top" wrapText="1"/>
    </xf>
    <xf numFmtId="0" fontId="5" fillId="0" borderId="0"/>
    <xf numFmtId="0" fontId="3" fillId="0" borderId="0"/>
    <xf numFmtId="0" fontId="2" fillId="0" borderId="0"/>
    <xf numFmtId="0" fontId="1" fillId="0" borderId="0"/>
  </cellStyleXfs>
  <cellXfs count="197">
    <xf numFmtId="0" fontId="0" fillId="0" borderId="0" xfId="0" applyFont="1" applyAlignment="1"/>
    <xf numFmtId="0" fontId="7" fillId="0" borderId="0" xfId="0" applyFont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10" fillId="0" borderId="0" xfId="0" applyFont="1" applyAlignment="1"/>
    <xf numFmtId="0" fontId="7" fillId="0" borderId="3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0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Font="1" applyFill="1" applyBorder="1" applyAlignment="1"/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0" fillId="0" borderId="0" xfId="0" applyFill="1" applyBorder="1"/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vertical="center"/>
    </xf>
    <xf numFmtId="0" fontId="9" fillId="0" borderId="14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0" fillId="0" borderId="0" xfId="0" applyFont="1" applyBorder="1" applyAlignment="1"/>
    <xf numFmtId="0" fontId="10" fillId="0" borderId="0" xfId="0" applyFont="1" applyFill="1" applyBorder="1" applyAlignment="1"/>
    <xf numFmtId="0" fontId="0" fillId="0" borderId="0" xfId="0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0" fontId="6" fillId="0" borderId="0" xfId="1"/>
    <xf numFmtId="0" fontId="6" fillId="5" borderId="0" xfId="1" applyFill="1"/>
    <xf numFmtId="0" fontId="6" fillId="5" borderId="15" xfId="1" applyFill="1" applyBorder="1"/>
    <xf numFmtId="0" fontId="6" fillId="5" borderId="16" xfId="1" applyFill="1" applyBorder="1"/>
    <xf numFmtId="0" fontId="6" fillId="5" borderId="17" xfId="1" applyFill="1" applyBorder="1"/>
    <xf numFmtId="0" fontId="6" fillId="5" borderId="18" xfId="1" applyFill="1" applyBorder="1"/>
    <xf numFmtId="0" fontId="6" fillId="5" borderId="19" xfId="1" applyFill="1" applyBorder="1"/>
    <xf numFmtId="9" fontId="6" fillId="5" borderId="19" xfId="1" applyNumberFormat="1" applyFill="1" applyBorder="1"/>
    <xf numFmtId="0" fontId="12" fillId="5" borderId="20" xfId="1" applyFont="1" applyFill="1" applyBorder="1"/>
    <xf numFmtId="0" fontId="12" fillId="5" borderId="21" xfId="1" applyFont="1" applyFill="1" applyBorder="1"/>
    <xf numFmtId="0" fontId="12" fillId="5" borderId="22" xfId="1" applyFont="1" applyFill="1" applyBorder="1"/>
    <xf numFmtId="9" fontId="14" fillId="5" borderId="0" xfId="2" applyNumberFormat="1" applyFont="1" applyFill="1" applyAlignment="1">
      <alignment vertical="center" wrapText="1"/>
    </xf>
    <xf numFmtId="2" fontId="14" fillId="5" borderId="0" xfId="2" applyNumberFormat="1" applyFont="1" applyFill="1" applyAlignment="1">
      <alignment vertical="center" wrapText="1"/>
    </xf>
    <xf numFmtId="0" fontId="15" fillId="5" borderId="23" xfId="2" applyFont="1" applyFill="1" applyBorder="1" applyAlignment="1">
      <alignment vertical="center" wrapText="1"/>
    </xf>
    <xf numFmtId="0" fontId="15" fillId="5" borderId="24" xfId="2" applyFont="1" applyFill="1" applyBorder="1" applyAlignment="1">
      <alignment vertical="center" wrapText="1"/>
    </xf>
    <xf numFmtId="14" fontId="15" fillId="5" borderId="24" xfId="2" applyNumberFormat="1" applyFont="1" applyFill="1" applyBorder="1" applyAlignment="1">
      <alignment vertical="center" wrapText="1"/>
    </xf>
    <xf numFmtId="0" fontId="16" fillId="5" borderId="24" xfId="1" applyFont="1" applyFill="1" applyBorder="1" applyAlignment="1">
      <alignment wrapText="1"/>
    </xf>
    <xf numFmtId="10" fontId="16" fillId="5" borderId="24" xfId="1" applyNumberFormat="1" applyFont="1" applyFill="1" applyBorder="1" applyAlignment="1">
      <alignment wrapText="1"/>
    </xf>
    <xf numFmtId="0" fontId="16" fillId="5" borderId="25" xfId="1" applyFont="1" applyFill="1" applyBorder="1" applyAlignment="1">
      <alignment wrapText="1"/>
    </xf>
    <xf numFmtId="0" fontId="15" fillId="5" borderId="26" xfId="2" applyFont="1" applyFill="1" applyBorder="1" applyAlignment="1">
      <alignment vertical="center" wrapText="1"/>
    </xf>
    <xf numFmtId="0" fontId="15" fillId="5" borderId="14" xfId="2" applyFont="1" applyFill="1" applyBorder="1" applyAlignment="1">
      <alignment vertical="center" wrapText="1"/>
    </xf>
    <xf numFmtId="14" fontId="15" fillId="5" borderId="14" xfId="2" applyNumberFormat="1" applyFont="1" applyFill="1" applyBorder="1" applyAlignment="1">
      <alignment vertical="center" wrapText="1"/>
    </xf>
    <xf numFmtId="0" fontId="16" fillId="5" borderId="14" xfId="1" applyFont="1" applyFill="1" applyBorder="1" applyAlignment="1">
      <alignment wrapText="1"/>
    </xf>
    <xf numFmtId="10" fontId="16" fillId="5" borderId="14" xfId="1" applyNumberFormat="1" applyFont="1" applyFill="1" applyBorder="1" applyAlignment="1">
      <alignment wrapText="1"/>
    </xf>
    <xf numFmtId="0" fontId="16" fillId="5" borderId="27" xfId="1" applyFont="1" applyFill="1" applyBorder="1" applyAlignment="1">
      <alignment wrapText="1"/>
    </xf>
    <xf numFmtId="14" fontId="16" fillId="5" borderId="14" xfId="1" applyNumberFormat="1" applyFont="1" applyFill="1" applyBorder="1" applyAlignment="1">
      <alignment wrapText="1"/>
    </xf>
    <xf numFmtId="0" fontId="17" fillId="5" borderId="0" xfId="1" applyFont="1" applyFill="1" applyAlignment="1">
      <alignment horizontal="center" vertical="center"/>
    </xf>
    <xf numFmtId="0" fontId="18" fillId="5" borderId="0" xfId="1" applyFont="1" applyFill="1" applyAlignment="1">
      <alignment horizontal="center" vertical="center" wrapText="1"/>
    </xf>
    <xf numFmtId="0" fontId="19" fillId="5" borderId="0" xfId="1" applyFont="1" applyFill="1" applyAlignment="1">
      <alignment horizontal="center" vertical="center" wrapText="1"/>
    </xf>
    <xf numFmtId="0" fontId="21" fillId="5" borderId="0" xfId="1" applyFont="1" applyFill="1" applyAlignment="1">
      <alignment horizontal="center"/>
    </xf>
    <xf numFmtId="0" fontId="22" fillId="5" borderId="0" xfId="1" applyFont="1" applyFill="1" applyAlignment="1">
      <alignment horizontal="center"/>
    </xf>
    <xf numFmtId="49" fontId="23" fillId="5" borderId="0" xfId="2" applyNumberFormat="1" applyFont="1" applyFill="1" applyAlignment="1">
      <alignment vertical="center" wrapText="1"/>
    </xf>
    <xf numFmtId="0" fontId="6" fillId="5" borderId="0" xfId="1" applyFill="1" applyBorder="1"/>
    <xf numFmtId="2" fontId="25" fillId="5" borderId="0" xfId="1" applyNumberFormat="1" applyFont="1" applyFill="1" applyAlignment="1">
      <alignment horizontal="center" vertical="center"/>
    </xf>
    <xf numFmtId="1" fontId="26" fillId="5" borderId="0" xfId="2" applyNumberFormat="1" applyFont="1" applyFill="1" applyBorder="1" applyAlignment="1">
      <alignment horizontal="center" vertical="center" wrapText="1"/>
    </xf>
    <xf numFmtId="0" fontId="20" fillId="5" borderId="0" xfId="1" applyFont="1" applyFill="1" applyBorder="1" applyAlignment="1">
      <alignment horizontal="center" vertical="center"/>
    </xf>
    <xf numFmtId="0" fontId="6" fillId="5" borderId="0" xfId="1" applyFont="1" applyFill="1"/>
    <xf numFmtId="1" fontId="26" fillId="7" borderId="39" xfId="2" applyNumberFormat="1" applyFont="1" applyFill="1" applyBorder="1" applyAlignment="1">
      <alignment horizontal="center" vertical="center" wrapText="1"/>
    </xf>
    <xf numFmtId="0" fontId="20" fillId="7" borderId="39" xfId="1" applyFont="1" applyFill="1" applyBorder="1" applyAlignment="1">
      <alignment horizontal="center" vertical="center"/>
    </xf>
    <xf numFmtId="2" fontId="27" fillId="5" borderId="0" xfId="1" applyNumberFormat="1" applyFont="1" applyFill="1" applyBorder="1" applyAlignment="1">
      <alignment vertical="center"/>
    </xf>
    <xf numFmtId="0" fontId="28" fillId="5" borderId="0" xfId="1" applyFont="1" applyFill="1" applyBorder="1" applyAlignment="1" applyProtection="1">
      <alignment horizontal="left"/>
      <protection locked="0"/>
    </xf>
    <xf numFmtId="1" fontId="29" fillId="5" borderId="0" xfId="2" applyNumberFormat="1" applyFont="1" applyFill="1" applyAlignment="1">
      <alignment horizontal="center" vertical="center" wrapText="1"/>
    </xf>
    <xf numFmtId="1" fontId="15" fillId="5" borderId="0" xfId="2" applyNumberFormat="1" applyFont="1" applyFill="1" applyAlignment="1">
      <alignment horizontal="center" vertical="center" wrapText="1"/>
    </xf>
    <xf numFmtId="0" fontId="20" fillId="7" borderId="40" xfId="1" applyFont="1" applyFill="1" applyBorder="1" applyAlignment="1">
      <alignment horizontal="center" vertical="center"/>
    </xf>
    <xf numFmtId="2" fontId="30" fillId="5" borderId="0" xfId="1" applyNumberFormat="1" applyFont="1" applyFill="1" applyBorder="1" applyAlignment="1">
      <alignment horizontal="center" vertical="center"/>
    </xf>
    <xf numFmtId="0" fontId="31" fillId="5" borderId="0" xfId="1" applyFont="1" applyFill="1" applyBorder="1" applyAlignment="1" applyProtection="1">
      <alignment horizontal="center" vertical="center"/>
      <protection locked="0"/>
    </xf>
    <xf numFmtId="0" fontId="28" fillId="5" borderId="17" xfId="1" applyFont="1" applyFill="1" applyBorder="1" applyAlignment="1" applyProtection="1">
      <alignment horizontal="left"/>
      <protection locked="0"/>
    </xf>
    <xf numFmtId="0" fontId="28" fillId="5" borderId="19" xfId="1" applyFont="1" applyFill="1" applyBorder="1" applyProtection="1">
      <protection locked="0"/>
    </xf>
    <xf numFmtId="0" fontId="20" fillId="7" borderId="45" xfId="1" applyFont="1" applyFill="1" applyBorder="1" applyAlignment="1">
      <alignment horizontal="center" vertical="center"/>
    </xf>
    <xf numFmtId="0" fontId="28" fillId="5" borderId="47" xfId="1" applyFont="1" applyFill="1" applyBorder="1" applyAlignment="1" applyProtection="1">
      <alignment horizontal="left"/>
      <protection locked="0"/>
    </xf>
    <xf numFmtId="0" fontId="20" fillId="7" borderId="23" xfId="1" applyFont="1" applyFill="1" applyBorder="1" applyAlignment="1">
      <alignment horizontal="center" vertical="center"/>
    </xf>
    <xf numFmtId="0" fontId="20" fillId="7" borderId="48" xfId="1" applyFont="1" applyFill="1" applyBorder="1" applyAlignment="1">
      <alignment horizontal="left" vertical="center"/>
    </xf>
    <xf numFmtId="0" fontId="20" fillId="7" borderId="34" xfId="1" applyFont="1" applyFill="1" applyBorder="1" applyAlignment="1">
      <alignment horizontal="center" vertical="center"/>
    </xf>
    <xf numFmtId="0" fontId="20" fillId="7" borderId="45" xfId="1" applyFont="1" applyFill="1" applyBorder="1" applyAlignment="1">
      <alignment horizontal="left" vertical="center"/>
    </xf>
    <xf numFmtId="0" fontId="28" fillId="5" borderId="22" xfId="1" applyFont="1" applyFill="1" applyBorder="1" applyProtection="1">
      <protection locked="0"/>
    </xf>
    <xf numFmtId="0" fontId="20" fillId="7" borderId="24" xfId="1" applyFont="1" applyFill="1" applyBorder="1" applyAlignment="1">
      <alignment vertical="center"/>
    </xf>
    <xf numFmtId="0" fontId="32" fillId="6" borderId="24" xfId="1" applyFont="1" applyFill="1" applyBorder="1" applyAlignment="1">
      <alignment horizontal="left" vertical="center"/>
    </xf>
    <xf numFmtId="0" fontId="20" fillId="7" borderId="43" xfId="1" applyFont="1" applyFill="1" applyBorder="1" applyAlignment="1">
      <alignment horizontal="left" vertical="center"/>
    </xf>
    <xf numFmtId="0" fontId="32" fillId="6" borderId="26" xfId="1" applyFont="1" applyFill="1" applyBorder="1" applyAlignment="1">
      <alignment horizontal="left" vertical="center"/>
    </xf>
    <xf numFmtId="0" fontId="20" fillId="7" borderId="14" xfId="1" applyFont="1" applyFill="1" applyBorder="1" applyAlignment="1">
      <alignment vertical="center"/>
    </xf>
    <xf numFmtId="0" fontId="32" fillId="6" borderId="14" xfId="1" applyFont="1" applyFill="1" applyBorder="1" applyAlignment="1">
      <alignment horizontal="left" vertical="center"/>
    </xf>
    <xf numFmtId="0" fontId="20" fillId="7" borderId="44" xfId="1" applyFont="1" applyFill="1" applyBorder="1" applyAlignment="1">
      <alignment horizontal="left" vertical="center"/>
    </xf>
    <xf numFmtId="0" fontId="32" fillId="6" borderId="26" xfId="1" applyFont="1" applyFill="1" applyBorder="1" applyAlignment="1">
      <alignment horizontal="left" vertical="center" wrapText="1"/>
    </xf>
    <xf numFmtId="0" fontId="18" fillId="5" borderId="0" xfId="2" applyFont="1" applyFill="1" applyAlignment="1">
      <alignment horizontal="center" vertical="center" wrapText="1"/>
    </xf>
    <xf numFmtId="49" fontId="20" fillId="5" borderId="0" xfId="2" applyNumberFormat="1" applyFont="1" applyFill="1" applyAlignment="1">
      <alignment horizontal="center" vertical="center" wrapText="1"/>
    </xf>
    <xf numFmtId="9" fontId="32" fillId="6" borderId="26" xfId="1" applyNumberFormat="1" applyFont="1" applyFill="1" applyBorder="1" applyAlignment="1">
      <alignment horizontal="left" vertical="center"/>
    </xf>
    <xf numFmtId="49" fontId="22" fillId="5" borderId="0" xfId="2" applyNumberFormat="1" applyFont="1" applyFill="1" applyAlignment="1">
      <alignment horizontal="center" vertical="center" wrapText="1"/>
    </xf>
    <xf numFmtId="49" fontId="20" fillId="5" borderId="0" xfId="2" quotePrefix="1" applyNumberFormat="1" applyFont="1" applyFill="1" applyAlignment="1">
      <alignment horizontal="center" vertical="center" wrapText="1"/>
    </xf>
    <xf numFmtId="0" fontId="16" fillId="5" borderId="49" xfId="1" applyFont="1" applyFill="1" applyBorder="1" applyAlignment="1">
      <alignment horizontal="center" vertical="center"/>
    </xf>
    <xf numFmtId="0" fontId="16" fillId="5" borderId="46" xfId="1" applyFont="1" applyFill="1" applyBorder="1" applyAlignment="1">
      <alignment horizontal="center" vertical="center"/>
    </xf>
    <xf numFmtId="0" fontId="16" fillId="5" borderId="44" xfId="1" applyFont="1" applyFill="1" applyBorder="1" applyAlignment="1">
      <alignment horizontal="center" vertical="center"/>
    </xf>
    <xf numFmtId="0" fontId="16" fillId="5" borderId="41" xfId="1" applyFont="1" applyFill="1" applyBorder="1" applyAlignment="1">
      <alignment horizontal="center" vertical="center"/>
    </xf>
    <xf numFmtId="0" fontId="16" fillId="5" borderId="43" xfId="1" applyFont="1" applyFill="1" applyBorder="1" applyAlignment="1">
      <alignment horizontal="center" vertical="center"/>
    </xf>
    <xf numFmtId="0" fontId="16" fillId="5" borderId="42" xfId="1" applyFont="1" applyFill="1" applyBorder="1" applyAlignment="1">
      <alignment horizontal="center" vertical="center"/>
    </xf>
    <xf numFmtId="0" fontId="20" fillId="7" borderId="36" xfId="1" applyFont="1" applyFill="1" applyBorder="1" applyAlignment="1">
      <alignment horizontal="center" vertical="center"/>
    </xf>
    <xf numFmtId="0" fontId="20" fillId="7" borderId="25" xfId="1" applyFont="1" applyFill="1" applyBorder="1" applyAlignment="1">
      <alignment horizontal="center" vertical="center"/>
    </xf>
    <xf numFmtId="0" fontId="26" fillId="7" borderId="17" xfId="2" applyFont="1" applyFill="1" applyBorder="1" applyAlignment="1">
      <alignment horizontal="center" vertical="center" wrapText="1"/>
    </xf>
    <xf numFmtId="0" fontId="20" fillId="7" borderId="52" xfId="1" applyFont="1" applyFill="1" applyBorder="1" applyAlignment="1">
      <alignment horizontal="left" vertical="center"/>
    </xf>
    <xf numFmtId="0" fontId="20" fillId="6" borderId="28" xfId="0" applyFont="1" applyFill="1" applyBorder="1" applyAlignment="1">
      <alignment horizontal="center" vertical="center"/>
    </xf>
    <xf numFmtId="0" fontId="32" fillId="6" borderId="23" xfId="1" applyFont="1" applyFill="1" applyBorder="1" applyAlignment="1">
      <alignment horizontal="left" vertical="center"/>
    </xf>
    <xf numFmtId="0" fontId="24" fillId="5" borderId="0" xfId="1" applyFont="1" applyFill="1" applyBorder="1"/>
    <xf numFmtId="0" fontId="4" fillId="5" borderId="0" xfId="1" applyFont="1" applyFill="1"/>
    <xf numFmtId="0" fontId="16" fillId="5" borderId="0" xfId="1" applyFont="1" applyFill="1" applyBorder="1" applyAlignment="1">
      <alignment horizontal="center" vertical="center"/>
    </xf>
    <xf numFmtId="0" fontId="32" fillId="5" borderId="0" xfId="1" applyFont="1" applyFill="1" applyBorder="1" applyAlignment="1">
      <alignment horizontal="center" vertical="center"/>
    </xf>
    <xf numFmtId="0" fontId="16" fillId="5" borderId="34" xfId="1" applyFont="1" applyFill="1" applyBorder="1" applyAlignment="1">
      <alignment horizontal="center" vertical="center"/>
    </xf>
    <xf numFmtId="0" fontId="6" fillId="5" borderId="26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2" fontId="32" fillId="8" borderId="40" xfId="1" applyNumberFormat="1" applyFont="1" applyFill="1" applyBorder="1" applyAlignment="1">
      <alignment horizontal="center" vertical="center"/>
    </xf>
    <xf numFmtId="2" fontId="32" fillId="8" borderId="54" xfId="1" applyNumberFormat="1" applyFont="1" applyFill="1" applyBorder="1" applyAlignment="1">
      <alignment horizontal="center" vertical="center"/>
    </xf>
    <xf numFmtId="0" fontId="38" fillId="3" borderId="14" xfId="0" applyFont="1" applyFill="1" applyBorder="1" applyAlignment="1">
      <alignment horizontal="center" vertical="center" wrapText="1"/>
    </xf>
    <xf numFmtId="0" fontId="38" fillId="0" borderId="14" xfId="0" applyFont="1" applyBorder="1" applyAlignment="1">
      <alignment horizontal="center" vertical="center" wrapText="1"/>
    </xf>
    <xf numFmtId="10" fontId="38" fillId="3" borderId="14" xfId="0" applyNumberFormat="1" applyFont="1" applyFill="1" applyBorder="1" applyAlignment="1">
      <alignment horizontal="center" vertical="center" wrapText="1"/>
    </xf>
    <xf numFmtId="0" fontId="37" fillId="0" borderId="14" xfId="0" applyFont="1" applyBorder="1" applyAlignment="1">
      <alignment horizontal="center" vertical="center"/>
    </xf>
    <xf numFmtId="10" fontId="37" fillId="0" borderId="14" xfId="0" applyNumberFormat="1" applyFont="1" applyBorder="1" applyAlignment="1">
      <alignment horizontal="center" vertical="center"/>
    </xf>
    <xf numFmtId="49" fontId="16" fillId="5" borderId="46" xfId="1" applyNumberFormat="1" applyFont="1" applyFill="1" applyBorder="1" applyAlignment="1">
      <alignment horizontal="center" vertical="center"/>
    </xf>
    <xf numFmtId="0" fontId="6" fillId="5" borderId="49" xfId="1" applyFill="1" applyBorder="1"/>
    <xf numFmtId="49" fontId="16" fillId="5" borderId="41" xfId="1" applyNumberFormat="1" applyFont="1" applyFill="1" applyBorder="1" applyAlignment="1">
      <alignment horizontal="center" vertical="center"/>
    </xf>
    <xf numFmtId="0" fontId="6" fillId="5" borderId="44" xfId="1" applyFill="1" applyBorder="1"/>
    <xf numFmtId="0" fontId="6" fillId="5" borderId="43" xfId="1" applyFill="1" applyBorder="1"/>
    <xf numFmtId="10" fontId="38" fillId="0" borderId="14" xfId="0" quotePrefix="1" applyNumberFormat="1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5" borderId="14" xfId="0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0" borderId="2" xfId="0" applyFont="1" applyBorder="1" applyAlignment="1"/>
    <xf numFmtId="0" fontId="7" fillId="0" borderId="9" xfId="0" applyFont="1" applyBorder="1" applyAlignment="1"/>
    <xf numFmtId="0" fontId="7" fillId="0" borderId="10" xfId="0" applyFont="1" applyBorder="1" applyAlignment="1"/>
    <xf numFmtId="0" fontId="7" fillId="2" borderId="8" xfId="0" applyFont="1" applyFill="1" applyBorder="1" applyAlignment="1">
      <alignment horizontal="center" vertical="center" wrapText="1"/>
    </xf>
    <xf numFmtId="0" fontId="7" fillId="0" borderId="12" xfId="0" applyFont="1" applyBorder="1" applyAlignment="1"/>
    <xf numFmtId="0" fontId="7" fillId="0" borderId="13" xfId="0" applyFont="1" applyBorder="1" applyAlignment="1"/>
    <xf numFmtId="0" fontId="7" fillId="0" borderId="7" xfId="0" applyFont="1" applyBorder="1" applyAlignment="1"/>
    <xf numFmtId="0" fontId="7" fillId="0" borderId="11" xfId="0" applyFont="1" applyBorder="1" applyAlignment="1"/>
    <xf numFmtId="0" fontId="7" fillId="2" borderId="3" xfId="0" applyFont="1" applyFill="1" applyBorder="1" applyAlignment="1">
      <alignment horizontal="center" vertical="center" wrapText="1"/>
    </xf>
    <xf numFmtId="0" fontId="7" fillId="0" borderId="4" xfId="0" applyFont="1" applyBorder="1" applyAlignment="1"/>
    <xf numFmtId="0" fontId="7" fillId="0" borderId="5" xfId="0" applyFont="1" applyBorder="1" applyAlignment="1"/>
    <xf numFmtId="0" fontId="7" fillId="4" borderId="3" xfId="0" applyFont="1" applyFill="1" applyBorder="1" applyAlignment="1">
      <alignment horizontal="center" vertical="center" wrapText="1"/>
    </xf>
    <xf numFmtId="14" fontId="7" fillId="2" borderId="1" xfId="0" applyNumberFormat="1" applyFont="1" applyFill="1" applyBorder="1" applyAlignment="1">
      <alignment horizontal="center" vertical="center" wrapText="1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9" xfId="0" applyNumberFormat="1" applyFont="1" applyFill="1" applyBorder="1" applyAlignment="1">
      <alignment horizontal="center" vertical="center" wrapText="1"/>
    </xf>
    <xf numFmtId="14" fontId="7" fillId="2" borderId="10" xfId="0" applyNumberFormat="1" applyFont="1" applyFill="1" applyBorder="1" applyAlignment="1">
      <alignment horizontal="center" vertical="center" wrapText="1"/>
    </xf>
    <xf numFmtId="0" fontId="20" fillId="7" borderId="34" xfId="1" applyFont="1" applyFill="1" applyBorder="1" applyAlignment="1">
      <alignment horizontal="center" vertical="center" wrapText="1"/>
    </xf>
    <xf numFmtId="0" fontId="20" fillId="7" borderId="23" xfId="1" applyFont="1" applyFill="1" applyBorder="1" applyAlignment="1">
      <alignment horizontal="center" vertical="center" wrapText="1"/>
    </xf>
    <xf numFmtId="0" fontId="12" fillId="5" borderId="49" xfId="1" applyFont="1" applyFill="1" applyBorder="1" applyAlignment="1">
      <alignment horizontal="center" vertical="center"/>
    </xf>
    <xf numFmtId="0" fontId="12" fillId="5" borderId="46" xfId="1" applyFont="1" applyFill="1" applyBorder="1" applyAlignment="1">
      <alignment horizontal="center" vertical="center"/>
    </xf>
    <xf numFmtId="0" fontId="27" fillId="5" borderId="43" xfId="1" applyFont="1" applyFill="1" applyBorder="1" applyAlignment="1">
      <alignment horizontal="center" vertical="center"/>
    </xf>
    <xf numFmtId="0" fontId="27" fillId="5" borderId="42" xfId="1" applyFont="1" applyFill="1" applyBorder="1" applyAlignment="1">
      <alignment horizontal="center" vertical="center"/>
    </xf>
    <xf numFmtId="0" fontId="33" fillId="5" borderId="38" xfId="1" applyFont="1" applyFill="1" applyBorder="1" applyAlignment="1">
      <alignment horizontal="center" vertical="center"/>
    </xf>
    <xf numFmtId="0" fontId="33" fillId="5" borderId="37" xfId="1" applyFont="1" applyFill="1" applyBorder="1" applyAlignment="1">
      <alignment horizontal="center" vertical="center"/>
    </xf>
    <xf numFmtId="2" fontId="27" fillId="5" borderId="49" xfId="1" applyNumberFormat="1" applyFont="1" applyFill="1" applyBorder="1" applyAlignment="1">
      <alignment horizontal="center" vertical="center"/>
    </xf>
    <xf numFmtId="2" fontId="27" fillId="5" borderId="46" xfId="1" applyNumberFormat="1" applyFont="1" applyFill="1" applyBorder="1" applyAlignment="1">
      <alignment horizontal="center" vertical="center"/>
    </xf>
    <xf numFmtId="0" fontId="35" fillId="5" borderId="39" xfId="1" applyFont="1" applyFill="1" applyBorder="1" applyAlignment="1">
      <alignment horizontal="center" vertical="center"/>
    </xf>
    <xf numFmtId="0" fontId="35" fillId="5" borderId="51" xfId="1" applyFont="1" applyFill="1" applyBorder="1" applyAlignment="1">
      <alignment horizontal="center" vertical="center"/>
    </xf>
    <xf numFmtId="0" fontId="35" fillId="5" borderId="50" xfId="1" applyFont="1" applyFill="1" applyBorder="1" applyAlignment="1">
      <alignment horizontal="center" vertical="center"/>
    </xf>
    <xf numFmtId="0" fontId="33" fillId="5" borderId="39" xfId="1" applyFont="1" applyFill="1" applyBorder="1" applyAlignment="1">
      <alignment horizontal="center" vertical="center"/>
    </xf>
    <xf numFmtId="0" fontId="33" fillId="5" borderId="50" xfId="1" applyFont="1" applyFill="1" applyBorder="1" applyAlignment="1">
      <alignment horizontal="center" vertical="center"/>
    </xf>
    <xf numFmtId="2" fontId="27" fillId="5" borderId="44" xfId="1" applyNumberFormat="1" applyFont="1" applyFill="1" applyBorder="1" applyAlignment="1">
      <alignment horizontal="center" vertical="center"/>
    </xf>
    <xf numFmtId="2" fontId="27" fillId="5" borderId="41" xfId="1" applyNumberFormat="1" applyFont="1" applyFill="1" applyBorder="1" applyAlignment="1">
      <alignment horizontal="center" vertical="center"/>
    </xf>
    <xf numFmtId="2" fontId="27" fillId="5" borderId="43" xfId="1" applyNumberFormat="1" applyFont="1" applyFill="1" applyBorder="1" applyAlignment="1">
      <alignment vertical="center"/>
    </xf>
    <xf numFmtId="2" fontId="27" fillId="5" borderId="42" xfId="1" applyNumberFormat="1" applyFont="1" applyFill="1" applyBorder="1" applyAlignment="1">
      <alignment vertical="center"/>
    </xf>
    <xf numFmtId="0" fontId="20" fillId="5" borderId="0" xfId="1" applyFont="1" applyFill="1" applyBorder="1" applyAlignment="1">
      <alignment horizontal="center" vertical="center" wrapText="1"/>
    </xf>
    <xf numFmtId="0" fontId="34" fillId="5" borderId="16" xfId="1" applyFont="1" applyFill="1" applyBorder="1" applyAlignment="1">
      <alignment horizontal="left" vertical="center"/>
    </xf>
    <xf numFmtId="0" fontId="20" fillId="7" borderId="53" xfId="1" applyFont="1" applyFill="1" applyBorder="1" applyAlignment="1">
      <alignment horizontal="center" vertical="center" wrapText="1"/>
    </xf>
    <xf numFmtId="0" fontId="20" fillId="7" borderId="37" xfId="1" applyFont="1" applyFill="1" applyBorder="1" applyAlignment="1">
      <alignment horizontal="center" vertical="center" wrapText="1"/>
    </xf>
    <xf numFmtId="0" fontId="20" fillId="7" borderId="38" xfId="1" applyFont="1" applyFill="1" applyBorder="1" applyAlignment="1">
      <alignment horizontal="center" vertical="center" wrapText="1"/>
    </xf>
    <xf numFmtId="0" fontId="20" fillId="5" borderId="20" xfId="1" applyFont="1" applyFill="1" applyBorder="1" applyAlignment="1">
      <alignment horizontal="center" vertical="center"/>
    </xf>
    <xf numFmtId="0" fontId="20" fillId="5" borderId="15" xfId="1" applyFont="1" applyFill="1" applyBorder="1" applyAlignment="1">
      <alignment horizontal="center" vertical="center"/>
    </xf>
    <xf numFmtId="0" fontId="20" fillId="5" borderId="18" xfId="1" applyFont="1" applyFill="1" applyBorder="1" applyAlignment="1">
      <alignment horizontal="center" vertical="center"/>
    </xf>
    <xf numFmtId="0" fontId="20" fillId="7" borderId="36" xfId="1" applyFont="1" applyFill="1" applyBorder="1" applyAlignment="1">
      <alignment horizontal="center" vertical="center" wrapText="1"/>
    </xf>
    <xf numFmtId="0" fontId="20" fillId="7" borderId="25" xfId="1" applyFont="1" applyFill="1" applyBorder="1" applyAlignment="1">
      <alignment horizontal="center" vertical="center" wrapText="1"/>
    </xf>
    <xf numFmtId="0" fontId="32" fillId="6" borderId="36" xfId="1" applyFont="1" applyFill="1" applyBorder="1" applyAlignment="1">
      <alignment horizontal="center" vertical="center" wrapText="1"/>
    </xf>
    <xf numFmtId="0" fontId="32" fillId="6" borderId="35" xfId="1" applyFont="1" applyFill="1" applyBorder="1" applyAlignment="1">
      <alignment horizontal="center" vertical="center" wrapText="1"/>
    </xf>
    <xf numFmtId="0" fontId="32" fillId="6" borderId="34" xfId="1" applyFont="1" applyFill="1" applyBorder="1" applyAlignment="1">
      <alignment horizontal="center" vertical="center" wrapText="1"/>
    </xf>
    <xf numFmtId="0" fontId="20" fillId="6" borderId="33" xfId="0" applyFont="1" applyFill="1" applyBorder="1" applyAlignment="1">
      <alignment horizontal="center" vertical="center" wrapText="1"/>
    </xf>
    <xf numFmtId="0" fontId="20" fillId="6" borderId="32" xfId="0" applyFont="1" applyFill="1" applyBorder="1" applyAlignment="1">
      <alignment horizontal="center" vertical="center" wrapText="1"/>
    </xf>
    <xf numFmtId="0" fontId="20" fillId="6" borderId="31" xfId="0" applyFont="1" applyFill="1" applyBorder="1" applyAlignment="1">
      <alignment horizontal="center" vertical="center" wrapText="1"/>
    </xf>
    <xf numFmtId="0" fontId="20" fillId="6" borderId="28" xfId="0" applyFont="1" applyFill="1" applyBorder="1" applyAlignment="1">
      <alignment horizontal="center" vertical="center" wrapText="1"/>
    </xf>
    <xf numFmtId="0" fontId="20" fillId="6" borderId="29" xfId="0" applyFont="1" applyFill="1" applyBorder="1" applyAlignment="1">
      <alignment horizontal="center" vertical="center" wrapText="1"/>
    </xf>
    <xf numFmtId="0" fontId="20" fillId="6" borderId="14" xfId="0" applyFont="1" applyFill="1" applyBorder="1" applyAlignment="1">
      <alignment horizontal="center" vertical="center" wrapText="1"/>
    </xf>
    <xf numFmtId="0" fontId="20" fillId="6" borderId="36" xfId="0" applyFont="1" applyFill="1" applyBorder="1" applyAlignment="1">
      <alignment horizontal="center" vertical="center"/>
    </xf>
    <xf numFmtId="0" fontId="20" fillId="6" borderId="35" xfId="0" applyFont="1" applyFill="1" applyBorder="1" applyAlignment="1">
      <alignment horizontal="center" vertical="center"/>
    </xf>
    <xf numFmtId="0" fontId="20" fillId="6" borderId="34" xfId="0" applyFont="1" applyFill="1" applyBorder="1" applyAlignment="1">
      <alignment horizontal="center" vertical="center"/>
    </xf>
    <xf numFmtId="0" fontId="20" fillId="6" borderId="27" xfId="0" applyFont="1" applyFill="1" applyBorder="1" applyAlignment="1">
      <alignment horizontal="center" vertical="center" wrapText="1"/>
    </xf>
    <xf numFmtId="0" fontId="20" fillId="6" borderId="30" xfId="0" applyFont="1" applyFill="1" applyBorder="1" applyAlignment="1">
      <alignment horizontal="center" vertical="center" wrapText="1"/>
    </xf>
    <xf numFmtId="0" fontId="39" fillId="0" borderId="14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39" fillId="3" borderId="14" xfId="0" applyFont="1" applyFill="1" applyBorder="1" applyAlignment="1">
      <alignment horizontal="center" vertical="center" wrapText="1"/>
    </xf>
    <xf numFmtId="0" fontId="9" fillId="5" borderId="14" xfId="0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 wrapText="1"/>
    </xf>
    <xf numFmtId="0" fontId="9" fillId="0" borderId="14" xfId="0" applyFont="1" applyBorder="1" applyAlignment="1"/>
    <xf numFmtId="0" fontId="40" fillId="3" borderId="14" xfId="0" applyFont="1" applyFill="1" applyBorder="1" applyAlignment="1">
      <alignment horizontal="center" vertical="center" wrapText="1"/>
    </xf>
    <xf numFmtId="0" fontId="7" fillId="0" borderId="14" xfId="0" applyFont="1" applyBorder="1" applyAlignment="1">
      <alignment horizontal="center" wrapText="1"/>
    </xf>
    <xf numFmtId="0" fontId="0" fillId="5" borderId="55" xfId="0" applyFill="1" applyBorder="1" applyAlignment="1">
      <alignment horizontal="center" vertical="center"/>
    </xf>
  </cellXfs>
  <cellStyles count="7">
    <cellStyle name="Normal" xfId="0" builtinId="0"/>
    <cellStyle name="Normal 2" xfId="1"/>
    <cellStyle name="Normal 3" xfId="2"/>
    <cellStyle name="Normal 4" xfId="3"/>
    <cellStyle name="Normal 5" xfId="4"/>
    <cellStyle name="Normal 6" xfId="5"/>
    <cellStyle name="Normal 7" xfId="6"/>
  </cellStyles>
  <dxfs count="35">
    <dxf>
      <fill>
        <patternFill>
          <bgColor rgb="FF00B050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'Choose the Sweetest'!$C$2:$E$2</c:f>
              <c:strCache>
                <c:ptCount val="3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'Choose the Sweetest'!$D$10:$E$10</c:f>
              <c:numCache>
                <c:formatCode>General</c:formatCode>
                <c:ptCount val="2"/>
              </c:numCache>
            </c:numRef>
          </c:cat>
          <c:val>
            <c:numRef>
              <c:f>'Choose the Sweetest'!$D$51:$E$51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DA1-4580-B061-BC14516536F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9972496"/>
        <c:axId val="209975856"/>
      </c:barChart>
      <c:catAx>
        <c:axId val="209972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209975856"/>
        <c:crosses val="autoZero"/>
        <c:auto val="1"/>
        <c:lblAlgn val="ctr"/>
        <c:lblOffset val="100"/>
        <c:noMultiLvlLbl val="0"/>
      </c:catAx>
      <c:valAx>
        <c:axId val="2099758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20997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0</xdr:row>
          <xdr:rowOff>28575</xdr:rowOff>
        </xdr:from>
        <xdr:to>
          <xdr:col>16</xdr:col>
          <xdr:colOff>704850</xdr:colOff>
          <xdr:row>2</xdr:row>
          <xdr:rowOff>95250</xdr:rowOff>
        </xdr:to>
        <xdr:sp macro="" textlink="">
          <xdr:nvSpPr>
            <xdr:cNvPr id="2049" name="CreateForms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2</xdr:row>
          <xdr:rowOff>114300</xdr:rowOff>
        </xdr:from>
        <xdr:to>
          <xdr:col>16</xdr:col>
          <xdr:colOff>295275</xdr:colOff>
          <xdr:row>5</xdr:row>
          <xdr:rowOff>58392</xdr:rowOff>
        </xdr:to>
        <xdr:sp macro="" textlink="">
          <xdr:nvSpPr>
            <xdr:cNvPr id="2050" name="Reset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714375</xdr:colOff>
          <xdr:row>2</xdr:row>
          <xdr:rowOff>142875</xdr:rowOff>
        </xdr:from>
        <xdr:to>
          <xdr:col>18</xdr:col>
          <xdr:colOff>28575</xdr:colOff>
          <xdr:row>4</xdr:row>
          <xdr:rowOff>161925</xdr:rowOff>
        </xdr:to>
        <xdr:sp macro="" textlink="">
          <xdr:nvSpPr>
            <xdr:cNvPr id="1025" name="NewExp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762000</xdr:colOff>
          <xdr:row>4</xdr:row>
          <xdr:rowOff>219075</xdr:rowOff>
        </xdr:from>
        <xdr:to>
          <xdr:col>14</xdr:col>
          <xdr:colOff>533400</xdr:colOff>
          <xdr:row>8</xdr:row>
          <xdr:rowOff>47625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752475</xdr:colOff>
          <xdr:row>8</xdr:row>
          <xdr:rowOff>152400</xdr:rowOff>
        </xdr:from>
        <xdr:to>
          <xdr:col>14</xdr:col>
          <xdr:colOff>533400</xdr:colOff>
          <xdr:row>11</xdr:row>
          <xdr:rowOff>190500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1019175</xdr:colOff>
          <xdr:row>12</xdr:row>
          <xdr:rowOff>114300</xdr:rowOff>
        </xdr:from>
        <xdr:to>
          <xdr:col>14</xdr:col>
          <xdr:colOff>161925</xdr:colOff>
          <xdr:row>14</xdr:row>
          <xdr:rowOff>0</xdr:rowOff>
        </xdr:to>
        <xdr:sp macro="" textlink="">
          <xdr:nvSpPr>
            <xdr:cNvPr id="1030" name="QC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15</xdr:row>
          <xdr:rowOff>28575</xdr:rowOff>
        </xdr:from>
        <xdr:to>
          <xdr:col>14</xdr:col>
          <xdr:colOff>628650</xdr:colOff>
          <xdr:row>18</xdr:row>
          <xdr:rowOff>76200</xdr:rowOff>
        </xdr:to>
        <xdr:sp macro="" textlink="">
          <xdr:nvSpPr>
            <xdr:cNvPr id="1032" name="SaveTastingForm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190498</xdr:colOff>
      <xdr:row>1</xdr:row>
      <xdr:rowOff>122464</xdr:rowOff>
    </xdr:from>
    <xdr:to>
      <xdr:col>9</xdr:col>
      <xdr:colOff>503463</xdr:colOff>
      <xdr:row>9</xdr:row>
      <xdr:rowOff>48114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Right="0"/>
    <pageSetUpPr fitToPage="1"/>
  </sheetPr>
  <dimension ref="A1:AB1004"/>
  <sheetViews>
    <sheetView tabSelected="1" zoomScale="115" zoomScaleNormal="115" workbookViewId="0">
      <pane ySplit="3" topLeftCell="A4" activePane="bottomLeft" state="frozen"/>
      <selection pane="bottomLeft" sqref="A1:B2"/>
    </sheetView>
  </sheetViews>
  <sheetFormatPr defaultColWidth="14.42578125" defaultRowHeight="15.75" customHeight="1" x14ac:dyDescent="0.2"/>
  <cols>
    <col min="1" max="1" width="5.5703125" customWidth="1"/>
    <col min="2" max="2" width="7.5703125" customWidth="1"/>
    <col min="3" max="3" width="16.5703125" customWidth="1"/>
    <col min="4" max="4" width="27.42578125" customWidth="1"/>
    <col min="5" max="5" width="10.42578125" customWidth="1"/>
    <col min="6" max="6" width="9" customWidth="1"/>
    <col min="7" max="7" width="8.42578125" customWidth="1"/>
    <col min="8" max="8" width="0.5703125" hidden="1" customWidth="1"/>
    <col min="9" max="9" width="11.42578125" hidden="1" customWidth="1"/>
    <col min="10" max="10" width="11.5703125" hidden="1" customWidth="1"/>
    <col min="11" max="11" width="21.42578125" hidden="1" customWidth="1"/>
    <col min="12" max="12" width="0.42578125" customWidth="1"/>
    <col min="13" max="13" width="19.42578125" customWidth="1"/>
    <col min="14" max="14" width="25.5703125" customWidth="1"/>
    <col min="15" max="15" width="15" customWidth="1"/>
  </cols>
  <sheetData>
    <row r="1" spans="1:28" ht="12.75" x14ac:dyDescent="0.2">
      <c r="A1" s="128" t="s">
        <v>0</v>
      </c>
      <c r="B1" s="129"/>
      <c r="C1" s="141"/>
      <c r="D1" s="142"/>
      <c r="E1" s="137" t="s">
        <v>1</v>
      </c>
      <c r="F1" s="138"/>
      <c r="G1" s="138"/>
      <c r="H1" s="138"/>
      <c r="I1" s="138"/>
      <c r="J1" s="138"/>
      <c r="K1" s="139"/>
      <c r="L1" s="4"/>
      <c r="M1" s="128" t="s">
        <v>2</v>
      </c>
      <c r="N1" s="135"/>
      <c r="O1" s="132" t="s">
        <v>3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2.75" x14ac:dyDescent="0.2">
      <c r="A2" s="130"/>
      <c r="B2" s="131"/>
      <c r="C2" s="143"/>
      <c r="D2" s="144"/>
      <c r="E2" s="137" t="s">
        <v>4</v>
      </c>
      <c r="F2" s="138"/>
      <c r="G2" s="139"/>
      <c r="H2" s="137" t="s">
        <v>5</v>
      </c>
      <c r="I2" s="138"/>
      <c r="J2" s="138"/>
      <c r="K2" s="139"/>
      <c r="L2" s="4"/>
      <c r="M2" s="130"/>
      <c r="N2" s="136"/>
      <c r="O2" s="133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2.75" x14ac:dyDescent="0.2">
      <c r="A3" s="2" t="s">
        <v>6</v>
      </c>
      <c r="B3" s="2" t="s">
        <v>7</v>
      </c>
      <c r="C3" s="2" t="s">
        <v>8</v>
      </c>
      <c r="D3" s="2" t="s">
        <v>9</v>
      </c>
      <c r="E3" s="2" t="s">
        <v>10</v>
      </c>
      <c r="F3" s="2" t="s">
        <v>11</v>
      </c>
      <c r="G3" s="2" t="s">
        <v>12</v>
      </c>
      <c r="H3" s="140" t="s">
        <v>10</v>
      </c>
      <c r="I3" s="139"/>
      <c r="J3" s="2" t="s">
        <v>11</v>
      </c>
      <c r="K3" s="2" t="s">
        <v>12</v>
      </c>
      <c r="L3" s="4"/>
      <c r="M3" s="3" t="s">
        <v>93</v>
      </c>
      <c r="N3" s="3" t="s">
        <v>13</v>
      </c>
      <c r="O3" s="134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3" customHeight="1" x14ac:dyDescent="0.2">
      <c r="A4" s="4"/>
      <c r="B4" s="9"/>
      <c r="C4" s="9"/>
      <c r="D4" s="9"/>
      <c r="E4" s="9"/>
      <c r="F4" s="9"/>
      <c r="G4" s="9"/>
      <c r="H4" s="4"/>
      <c r="I4" s="4"/>
      <c r="J4" s="4"/>
      <c r="K4" s="4"/>
      <c r="L4" s="4"/>
      <c r="M4" s="4"/>
      <c r="N4" s="4"/>
      <c r="O4" s="4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4.25" x14ac:dyDescent="0.2">
      <c r="A5" s="6">
        <v>1</v>
      </c>
      <c r="B5" s="7">
        <v>10</v>
      </c>
      <c r="C5" s="188" t="s">
        <v>14</v>
      </c>
      <c r="D5" s="189" t="s">
        <v>91</v>
      </c>
      <c r="E5" s="126">
        <v>367</v>
      </c>
      <c r="F5" s="126">
        <v>259</v>
      </c>
      <c r="G5" s="126"/>
      <c r="H5" s="115"/>
      <c r="I5" s="116"/>
      <c r="J5" s="116"/>
      <c r="K5" s="116"/>
      <c r="L5" s="115"/>
      <c r="M5" s="119"/>
      <c r="N5" s="118"/>
      <c r="O5" s="116" t="s">
        <v>101</v>
      </c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4.25" x14ac:dyDescent="0.2">
      <c r="A6" s="6">
        <v>2</v>
      </c>
      <c r="B6" s="7">
        <v>10</v>
      </c>
      <c r="C6" s="188" t="s">
        <v>85</v>
      </c>
      <c r="D6" s="189" t="s">
        <v>99</v>
      </c>
      <c r="E6" s="126"/>
      <c r="F6" s="126">
        <v>744</v>
      </c>
      <c r="G6" s="126">
        <v>321</v>
      </c>
      <c r="H6" s="115"/>
      <c r="I6" s="116"/>
      <c r="J6" s="116"/>
      <c r="K6" s="116"/>
      <c r="L6" s="115"/>
      <c r="M6" s="119"/>
      <c r="N6" s="118"/>
      <c r="O6" s="116" t="s">
        <v>101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3" customHeight="1" x14ac:dyDescent="0.3">
      <c r="A7" s="8"/>
      <c r="B7" s="10"/>
      <c r="C7" s="190"/>
      <c r="D7" s="10"/>
      <c r="E7" s="10"/>
      <c r="F7" s="10"/>
      <c r="G7" s="10"/>
      <c r="H7" s="115"/>
      <c r="I7" s="115"/>
      <c r="J7" s="115"/>
      <c r="K7" s="115"/>
      <c r="L7" s="115"/>
      <c r="M7" s="117"/>
      <c r="N7" s="115"/>
      <c r="O7" s="115"/>
      <c r="P7" s="5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4.25" x14ac:dyDescent="0.2">
      <c r="A8" s="6">
        <v>3</v>
      </c>
      <c r="B8" s="7">
        <v>12</v>
      </c>
      <c r="C8" s="188" t="s">
        <v>14</v>
      </c>
      <c r="D8" s="189" t="s">
        <v>92</v>
      </c>
      <c r="E8" s="126">
        <v>372</v>
      </c>
      <c r="F8" s="126">
        <v>459</v>
      </c>
      <c r="G8" s="126"/>
      <c r="H8" s="115"/>
      <c r="I8" s="116"/>
      <c r="J8" s="116"/>
      <c r="K8" s="116"/>
      <c r="L8" s="115"/>
      <c r="M8" s="119"/>
      <c r="N8" s="118"/>
      <c r="O8" s="116" t="s">
        <v>101</v>
      </c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" customHeight="1" x14ac:dyDescent="0.2">
      <c r="A9" s="6">
        <v>4</v>
      </c>
      <c r="B9" s="7">
        <v>12</v>
      </c>
      <c r="C9" s="188" t="s">
        <v>15</v>
      </c>
      <c r="D9" s="127" t="s">
        <v>99</v>
      </c>
      <c r="E9" s="191"/>
      <c r="F9" s="126" t="s">
        <v>86</v>
      </c>
      <c r="G9" s="126">
        <v>121</v>
      </c>
      <c r="H9" s="115"/>
      <c r="I9" s="116"/>
      <c r="J9" s="116"/>
      <c r="K9" s="116"/>
      <c r="L9" s="115"/>
      <c r="M9" s="125"/>
      <c r="N9" s="118"/>
      <c r="O9" s="116" t="s">
        <v>101</v>
      </c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3.75" customHeight="1" x14ac:dyDescent="0.2">
      <c r="A10" s="8"/>
      <c r="B10" s="10"/>
      <c r="C10" s="190"/>
      <c r="D10" s="10"/>
      <c r="E10" s="192"/>
      <c r="F10" s="192"/>
      <c r="G10" s="192"/>
      <c r="H10" s="115"/>
      <c r="I10" s="115"/>
      <c r="J10" s="115"/>
      <c r="K10" s="115"/>
      <c r="L10" s="115"/>
      <c r="M10" s="117"/>
      <c r="N10" s="115"/>
      <c r="O10" s="115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4.25" x14ac:dyDescent="0.2">
      <c r="A11" s="6">
        <v>5</v>
      </c>
      <c r="B11" s="7">
        <v>15</v>
      </c>
      <c r="C11" s="188" t="s">
        <v>14</v>
      </c>
      <c r="D11" s="126" t="s">
        <v>96</v>
      </c>
      <c r="E11" s="191"/>
      <c r="F11" s="126">
        <v>839</v>
      </c>
      <c r="G11" s="126">
        <v>170</v>
      </c>
      <c r="H11" s="115"/>
      <c r="I11" s="116"/>
      <c r="J11" s="116"/>
      <c r="K11" s="116"/>
      <c r="L11" s="115"/>
      <c r="M11" s="119"/>
      <c r="N11" s="118"/>
      <c r="O11" s="116" t="s">
        <v>101</v>
      </c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4.25" x14ac:dyDescent="0.2">
      <c r="A12" s="6">
        <v>6</v>
      </c>
      <c r="B12" s="7">
        <v>15</v>
      </c>
      <c r="C12" s="188" t="s">
        <v>14</v>
      </c>
      <c r="D12" s="126" t="s">
        <v>98</v>
      </c>
      <c r="E12" s="193"/>
      <c r="F12" s="126">
        <v>620</v>
      </c>
      <c r="G12" s="126">
        <v>481</v>
      </c>
      <c r="H12" s="115"/>
      <c r="I12" s="116"/>
      <c r="J12" s="116"/>
      <c r="K12" s="116"/>
      <c r="L12" s="115"/>
      <c r="M12" s="125"/>
      <c r="N12" s="118"/>
      <c r="O12" s="116" t="s">
        <v>101</v>
      </c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3.75" customHeight="1" x14ac:dyDescent="0.2">
      <c r="A13" s="8"/>
      <c r="B13" s="10"/>
      <c r="C13" s="194"/>
      <c r="D13" s="10"/>
      <c r="E13" s="192"/>
      <c r="F13" s="192"/>
      <c r="G13" s="192"/>
      <c r="H13" s="115"/>
      <c r="I13" s="115"/>
      <c r="J13" s="115"/>
      <c r="K13" s="115"/>
      <c r="L13" s="115"/>
      <c r="M13" s="117"/>
      <c r="N13" s="115"/>
      <c r="O13" s="115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14.25" x14ac:dyDescent="0.2">
      <c r="A14" s="6">
        <v>7</v>
      </c>
      <c r="B14" s="7">
        <v>1</v>
      </c>
      <c r="C14" s="188" t="s">
        <v>14</v>
      </c>
      <c r="D14" s="126" t="s">
        <v>96</v>
      </c>
      <c r="E14" s="195"/>
      <c r="F14" s="126">
        <v>839</v>
      </c>
      <c r="G14" s="126">
        <v>170</v>
      </c>
      <c r="H14" s="115"/>
      <c r="I14" s="116"/>
      <c r="J14" s="116"/>
      <c r="K14" s="116"/>
      <c r="L14" s="115"/>
      <c r="M14" s="119"/>
      <c r="N14" s="118"/>
      <c r="O14" s="116" t="s">
        <v>41</v>
      </c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14.25" x14ac:dyDescent="0.2">
      <c r="A15" s="6">
        <v>8</v>
      </c>
      <c r="B15" s="7">
        <v>2</v>
      </c>
      <c r="C15" s="188" t="s">
        <v>14</v>
      </c>
      <c r="D15" s="126" t="s">
        <v>98</v>
      </c>
      <c r="E15" s="193"/>
      <c r="F15" s="126">
        <v>620</v>
      </c>
      <c r="G15" s="126">
        <v>481</v>
      </c>
      <c r="H15" s="115"/>
      <c r="I15" s="116"/>
      <c r="J15" s="116"/>
      <c r="K15" s="116"/>
      <c r="L15" s="115"/>
      <c r="M15" s="119"/>
      <c r="N15" s="118"/>
      <c r="O15" s="116" t="s">
        <v>41</v>
      </c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14.25" x14ac:dyDescent="0.2">
      <c r="A16" s="6">
        <v>9</v>
      </c>
      <c r="B16" s="7">
        <v>3</v>
      </c>
      <c r="C16" s="188" t="s">
        <v>14</v>
      </c>
      <c r="D16" s="189" t="s">
        <v>100</v>
      </c>
      <c r="E16" s="19"/>
      <c r="F16" s="126">
        <v>745</v>
      </c>
      <c r="G16" s="126">
        <v>958</v>
      </c>
      <c r="H16" s="115"/>
      <c r="I16" s="116"/>
      <c r="J16" s="116"/>
      <c r="K16" s="116"/>
      <c r="L16" s="115"/>
      <c r="M16" s="119"/>
      <c r="N16" s="118"/>
      <c r="O16" s="116" t="s">
        <v>41</v>
      </c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15" customHeight="1" x14ac:dyDescent="0.2">
      <c r="A17" s="6">
        <v>10</v>
      </c>
      <c r="B17" s="19">
        <v>4</v>
      </c>
      <c r="C17" s="188" t="s">
        <v>87</v>
      </c>
      <c r="D17" s="196" t="s">
        <v>88</v>
      </c>
      <c r="E17" s="126">
        <v>506</v>
      </c>
      <c r="F17" s="126">
        <v>931</v>
      </c>
      <c r="H17" s="115"/>
      <c r="I17" s="116"/>
      <c r="J17" s="116"/>
      <c r="K17" s="116"/>
      <c r="L17" s="115"/>
      <c r="M17" s="125"/>
      <c r="N17" s="118"/>
      <c r="O17" s="116" t="s">
        <v>41</v>
      </c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3.75" customHeight="1" x14ac:dyDescent="0.2">
      <c r="A18" s="8"/>
      <c r="B18" s="10"/>
      <c r="C18" s="194"/>
      <c r="D18" s="10"/>
      <c r="E18" s="192"/>
      <c r="F18" s="192"/>
      <c r="G18" s="192"/>
      <c r="H18" s="115"/>
      <c r="I18" s="115"/>
      <c r="J18" s="115"/>
      <c r="K18" s="115"/>
      <c r="L18" s="115"/>
      <c r="M18" s="117"/>
      <c r="N18" s="115"/>
      <c r="O18" s="115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14.25" x14ac:dyDescent="0.2">
      <c r="A19" s="6">
        <v>11</v>
      </c>
      <c r="B19" s="7">
        <v>5</v>
      </c>
      <c r="C19" s="188" t="s">
        <v>14</v>
      </c>
      <c r="D19" s="126" t="s">
        <v>89</v>
      </c>
      <c r="E19" s="19"/>
      <c r="F19" s="126">
        <v>624</v>
      </c>
      <c r="G19" s="126">
        <v>130</v>
      </c>
      <c r="H19" s="115"/>
      <c r="I19" s="116"/>
      <c r="J19" s="116"/>
      <c r="K19" s="116"/>
      <c r="L19" s="115"/>
      <c r="M19" s="119"/>
      <c r="N19" s="118"/>
      <c r="O19" s="116" t="s">
        <v>41</v>
      </c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14.25" x14ac:dyDescent="0.2">
      <c r="A20" s="6">
        <v>12</v>
      </c>
      <c r="B20" s="7">
        <v>6</v>
      </c>
      <c r="C20" s="188" t="s">
        <v>14</v>
      </c>
      <c r="D20" s="126" t="s">
        <v>90</v>
      </c>
      <c r="E20" s="19"/>
      <c r="F20" s="126">
        <v>507</v>
      </c>
      <c r="G20" s="126">
        <v>998</v>
      </c>
      <c r="H20" s="115"/>
      <c r="I20" s="116"/>
      <c r="J20" s="116"/>
      <c r="K20" s="116"/>
      <c r="L20" s="115"/>
      <c r="M20" s="119"/>
      <c r="N20" s="118"/>
      <c r="O20" s="116" t="s">
        <v>41</v>
      </c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14.25" x14ac:dyDescent="0.2">
      <c r="A21" s="6">
        <v>13</v>
      </c>
      <c r="B21" s="7">
        <v>7</v>
      </c>
      <c r="C21" s="188" t="s">
        <v>15</v>
      </c>
      <c r="D21" s="127" t="s">
        <v>97</v>
      </c>
      <c r="E21" s="193"/>
      <c r="F21" s="126">
        <v>336</v>
      </c>
      <c r="G21" s="126">
        <v>791</v>
      </c>
      <c r="H21" s="115"/>
      <c r="I21" s="116"/>
      <c r="J21" s="116"/>
      <c r="K21" s="116"/>
      <c r="L21" s="115"/>
      <c r="M21" s="125"/>
      <c r="N21" s="118"/>
      <c r="O21" s="116" t="s">
        <v>41</v>
      </c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3.75" customHeight="1" x14ac:dyDescent="0.2">
      <c r="A22" s="8"/>
      <c r="B22" s="10"/>
      <c r="C22" s="194"/>
      <c r="D22" s="10"/>
      <c r="E22" s="192"/>
      <c r="F22" s="192"/>
      <c r="G22" s="192"/>
      <c r="H22" s="115"/>
      <c r="I22" s="115"/>
      <c r="J22" s="115"/>
      <c r="K22" s="115"/>
      <c r="L22" s="115"/>
      <c r="M22" s="117"/>
      <c r="N22" s="115"/>
      <c r="O22" s="115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14.25" x14ac:dyDescent="0.2">
      <c r="A23" s="6">
        <v>14</v>
      </c>
      <c r="B23" s="7">
        <v>8</v>
      </c>
      <c r="C23" s="188" t="s">
        <v>16</v>
      </c>
      <c r="D23" s="189" t="s">
        <v>94</v>
      </c>
      <c r="E23" s="126">
        <v>961</v>
      </c>
      <c r="G23" s="126">
        <v>557</v>
      </c>
      <c r="H23" s="115"/>
      <c r="I23" s="116"/>
      <c r="J23" s="116"/>
      <c r="K23" s="116"/>
      <c r="L23" s="115"/>
      <c r="M23" s="119"/>
      <c r="N23" s="118"/>
      <c r="O23" s="116" t="s">
        <v>41</v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ht="14.25" x14ac:dyDescent="0.2">
      <c r="A24" s="6">
        <v>15</v>
      </c>
      <c r="B24" s="7">
        <v>9</v>
      </c>
      <c r="C24" s="188" t="s">
        <v>14</v>
      </c>
      <c r="D24" s="126" t="s">
        <v>96</v>
      </c>
      <c r="F24" s="126">
        <v>592</v>
      </c>
      <c r="G24" s="126">
        <v>761</v>
      </c>
      <c r="H24" s="115"/>
      <c r="I24" s="116"/>
      <c r="J24" s="116"/>
      <c r="K24" s="116"/>
      <c r="L24" s="115"/>
      <c r="M24" s="119"/>
      <c r="N24" s="118"/>
      <c r="O24" s="116" t="s">
        <v>41</v>
      </c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14.25" x14ac:dyDescent="0.2">
      <c r="A25" s="6">
        <v>16</v>
      </c>
      <c r="B25" s="7">
        <v>10</v>
      </c>
      <c r="C25" s="188" t="s">
        <v>87</v>
      </c>
      <c r="D25" s="126" t="s">
        <v>95</v>
      </c>
      <c r="E25" s="191"/>
      <c r="F25" s="126">
        <v>233</v>
      </c>
      <c r="G25" s="126">
        <v>849</v>
      </c>
      <c r="H25" s="115"/>
      <c r="I25" s="116"/>
      <c r="J25" s="116"/>
      <c r="K25" s="116"/>
      <c r="L25" s="115"/>
      <c r="M25" s="125"/>
      <c r="N25" s="118"/>
      <c r="O25" s="116" t="s">
        <v>41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12.75" x14ac:dyDescent="0.2">
      <c r="A26" s="1" t="s">
        <v>70</v>
      </c>
      <c r="B26" s="1"/>
      <c r="C26" s="1"/>
      <c r="D26" s="13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12.75" x14ac:dyDescent="0.2">
      <c r="B27" s="1"/>
      <c r="C27" s="15"/>
      <c r="D27" s="20"/>
      <c r="E27" s="11"/>
      <c r="F27" s="1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12.75" x14ac:dyDescent="0.2">
      <c r="A28" s="1"/>
      <c r="B28" s="1"/>
      <c r="D28" s="25"/>
      <c r="H28" s="1"/>
      <c r="I28" s="1"/>
      <c r="J28" s="1"/>
      <c r="K28" s="1"/>
      <c r="L28" s="1"/>
      <c r="M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15" x14ac:dyDescent="0.2">
      <c r="A29" s="1"/>
      <c r="B29" s="14"/>
      <c r="C29" s="18"/>
      <c r="D29" s="20"/>
      <c r="H29" s="14"/>
      <c r="I29" s="14"/>
      <c r="J29" s="14"/>
      <c r="K29" s="14"/>
      <c r="L29" s="14"/>
      <c r="M29" s="14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ht="17.25" customHeight="1" x14ac:dyDescent="0.2">
      <c r="A30" s="1"/>
      <c r="B30" s="14"/>
      <c r="C30" s="18"/>
      <c r="D30" s="11"/>
      <c r="H30" s="14"/>
      <c r="I30" s="14"/>
      <c r="J30" s="14"/>
      <c r="K30" s="14"/>
      <c r="L30" s="14"/>
      <c r="M30" s="14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ht="17.25" customHeight="1" x14ac:dyDescent="0.2">
      <c r="A31" s="1"/>
      <c r="B31" s="14"/>
      <c r="C31" s="18"/>
      <c r="H31" s="14"/>
      <c r="I31" s="14"/>
      <c r="J31" s="14"/>
      <c r="K31" s="14"/>
      <c r="L31" s="14"/>
      <c r="M31" s="14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ht="17.25" customHeight="1" x14ac:dyDescent="0.2">
      <c r="A32" s="1"/>
      <c r="B32" s="14"/>
      <c r="C32" s="18"/>
      <c r="D32" s="13"/>
      <c r="H32" s="14"/>
      <c r="I32" s="14"/>
      <c r="J32" s="14"/>
      <c r="K32" s="14"/>
      <c r="L32" s="14"/>
      <c r="M32" s="14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ht="17.25" customHeight="1" x14ac:dyDescent="0.2">
      <c r="A33" s="1"/>
      <c r="B33" s="14"/>
      <c r="C33" s="18"/>
      <c r="D33" s="13"/>
      <c r="G33" s="11"/>
      <c r="H33" s="14"/>
      <c r="I33" s="14"/>
      <c r="J33" s="14"/>
      <c r="K33" s="14"/>
      <c r="L33" s="14"/>
      <c r="M33" s="14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17.25" customHeight="1" x14ac:dyDescent="0.2">
      <c r="A34" s="1"/>
      <c r="B34" s="14"/>
      <c r="C34" s="18"/>
      <c r="D34" s="24"/>
      <c r="G34" s="11"/>
      <c r="H34" s="14"/>
      <c r="I34" s="14"/>
      <c r="J34" s="14"/>
      <c r="K34" s="14"/>
      <c r="L34" s="14"/>
      <c r="M34" s="14"/>
      <c r="N34" s="13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17.25" customHeight="1" x14ac:dyDescent="0.2">
      <c r="A35" s="1"/>
      <c r="B35" s="14"/>
      <c r="C35" s="18"/>
      <c r="D35" s="24"/>
      <c r="E35" s="20"/>
      <c r="F35" s="11"/>
      <c r="G35" s="11"/>
      <c r="H35" s="14"/>
      <c r="I35" s="14"/>
      <c r="J35" s="14"/>
      <c r="K35" s="14"/>
      <c r="L35" s="14"/>
      <c r="M35" s="14"/>
      <c r="N35" s="16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17.25" customHeight="1" x14ac:dyDescent="0.25">
      <c r="A36" s="1"/>
      <c r="B36" s="14"/>
      <c r="C36" s="17"/>
      <c r="D36" s="16"/>
      <c r="E36" s="24"/>
      <c r="F36" s="11"/>
      <c r="G36" s="11"/>
      <c r="H36" s="14"/>
      <c r="I36" s="14"/>
      <c r="J36" s="14"/>
      <c r="K36" s="14"/>
      <c r="L36" s="14"/>
      <c r="M36" s="14"/>
      <c r="N36" s="14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17.25" customHeight="1" x14ac:dyDescent="0.2">
      <c r="A37" s="1"/>
      <c r="B37" s="14"/>
      <c r="C37" s="18"/>
      <c r="D37" s="13"/>
      <c r="E37" s="24"/>
      <c r="F37" s="11"/>
      <c r="G37" s="11"/>
      <c r="H37" s="14"/>
      <c r="I37" s="14"/>
      <c r="J37" s="14"/>
      <c r="K37" s="14"/>
      <c r="L37" s="14"/>
      <c r="M37" s="14"/>
      <c r="N37" s="14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17.25" customHeight="1" x14ac:dyDescent="0.2">
      <c r="A38" s="1"/>
      <c r="B38" s="14"/>
      <c r="C38" s="18"/>
      <c r="D38" s="13"/>
      <c r="E38" s="13"/>
      <c r="F38" s="12"/>
      <c r="G38" s="12"/>
      <c r="H38" s="14"/>
      <c r="I38" s="14"/>
      <c r="J38" s="14"/>
      <c r="K38" s="14"/>
      <c r="L38" s="14"/>
      <c r="M38" s="14"/>
      <c r="N38" s="14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17.25" customHeight="1" x14ac:dyDescent="0.2">
      <c r="A39" s="1"/>
      <c r="B39" s="14"/>
      <c r="C39" s="18"/>
      <c r="D39" s="13"/>
      <c r="E39" s="13"/>
      <c r="F39" s="12"/>
      <c r="G39" s="12"/>
      <c r="H39" s="14"/>
      <c r="I39" s="14"/>
      <c r="J39" s="14"/>
      <c r="K39" s="14"/>
      <c r="L39" s="14"/>
      <c r="M39" s="14"/>
      <c r="N39" s="14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12.75" customHeight="1" x14ac:dyDescent="0.3">
      <c r="A40" s="1"/>
      <c r="B40" s="14"/>
      <c r="C40" s="18"/>
      <c r="D40" s="20"/>
      <c r="E40" s="23"/>
      <c r="F40" s="11"/>
      <c r="G40" s="11"/>
      <c r="H40" s="14"/>
      <c r="I40" s="14"/>
      <c r="J40" s="14"/>
      <c r="K40" s="14"/>
      <c r="L40" s="14"/>
      <c r="M40" s="14"/>
      <c r="N40" s="14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18.75" x14ac:dyDescent="0.3">
      <c r="A41" s="1"/>
      <c r="B41" s="14"/>
      <c r="C41" s="17"/>
      <c r="D41" s="20"/>
      <c r="E41" s="23"/>
      <c r="F41" s="11"/>
      <c r="G41" s="11"/>
      <c r="H41" s="14"/>
      <c r="I41" s="14"/>
      <c r="J41" s="14"/>
      <c r="K41" s="14"/>
      <c r="L41" s="14"/>
      <c r="M41" s="14"/>
      <c r="N41" s="14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15" x14ac:dyDescent="0.25">
      <c r="A42" s="1"/>
      <c r="B42" s="14"/>
      <c r="C42" s="17"/>
      <c r="D42" s="20"/>
      <c r="E42" s="13"/>
      <c r="F42" s="11"/>
      <c r="G42" s="11"/>
      <c r="H42" s="14"/>
      <c r="I42" s="14"/>
      <c r="J42" s="14"/>
      <c r="K42" s="14"/>
      <c r="L42" s="14"/>
      <c r="M42" s="14"/>
      <c r="N42" s="14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18.75" x14ac:dyDescent="0.3">
      <c r="A43" s="1"/>
      <c r="B43" s="14"/>
      <c r="C43" s="17"/>
      <c r="D43" s="13"/>
      <c r="E43" s="22"/>
      <c r="F43" s="11"/>
      <c r="G43" s="11"/>
      <c r="H43" s="14"/>
      <c r="J43" s="14"/>
      <c r="K43" s="14"/>
      <c r="L43" s="14"/>
      <c r="M43" s="14"/>
      <c r="N43" s="14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18.75" x14ac:dyDescent="0.3">
      <c r="A44" s="1"/>
      <c r="B44" s="1"/>
      <c r="C44" s="17"/>
      <c r="D44" s="20"/>
      <c r="E44" s="22"/>
      <c r="F44" s="11"/>
      <c r="G44" s="15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14.25" x14ac:dyDescent="0.2">
      <c r="A45" s="1"/>
      <c r="B45" s="1"/>
      <c r="C45" s="21"/>
      <c r="D45" s="21"/>
      <c r="G45" s="15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14.25" x14ac:dyDescent="0.2">
      <c r="A46" s="1"/>
      <c r="B46" s="1"/>
      <c r="C46" s="21"/>
      <c r="D46" s="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12.75" x14ac:dyDescent="0.2">
      <c r="A47" s="1"/>
      <c r="B47" s="1"/>
      <c r="C47" s="16"/>
      <c r="D47" s="16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15" x14ac:dyDescent="0.25">
      <c r="A48" s="1"/>
      <c r="B48" s="1"/>
      <c r="C48" s="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18.75" x14ac:dyDescent="0.3">
      <c r="A49" s="1"/>
      <c r="B49" s="1"/>
      <c r="C49" s="17"/>
      <c r="D49" s="13"/>
      <c r="E49" s="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18.75" x14ac:dyDescent="0.3">
      <c r="A50" s="1"/>
      <c r="B50" s="1"/>
      <c r="C50" s="17"/>
      <c r="D50" s="13"/>
      <c r="E50" s="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15" x14ac:dyDescent="0.25">
      <c r="A51" s="1"/>
      <c r="B51" s="1"/>
      <c r="C51" s="17"/>
      <c r="D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18.75" x14ac:dyDescent="0.3">
      <c r="A52" s="1"/>
      <c r="B52" s="1"/>
      <c r="C52" s="17"/>
      <c r="D52" s="13"/>
      <c r="E52" s="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15" x14ac:dyDescent="0.25">
      <c r="A53" s="1"/>
      <c r="B53" s="1"/>
      <c r="C53" s="17"/>
      <c r="D53" s="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12.75" x14ac:dyDescent="0.2">
      <c r="A54" s="1"/>
      <c r="B54" s="1"/>
      <c r="C54" s="14"/>
      <c r="D54" s="14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t="18.75" x14ac:dyDescent="0.3">
      <c r="A55" s="1"/>
      <c r="B55" s="1"/>
      <c r="C55" s="14"/>
      <c r="D55" s="14"/>
      <c r="E55" s="5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t="18.75" x14ac:dyDescent="0.3">
      <c r="A56" s="1"/>
      <c r="B56" s="1"/>
      <c r="C56" s="14"/>
      <c r="D56" s="14"/>
      <c r="E56" s="5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ht="18.75" x14ac:dyDescent="0.3">
      <c r="A57" s="1"/>
      <c r="B57" s="1"/>
      <c r="C57" s="14"/>
      <c r="D57" s="14"/>
      <c r="E57" s="5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ht="18.75" x14ac:dyDescent="0.3">
      <c r="A58" s="1"/>
      <c r="B58" s="1"/>
      <c r="C58" s="14"/>
      <c r="D58" s="14"/>
      <c r="E58" s="5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ht="12.75" x14ac:dyDescent="0.2">
      <c r="A59" s="1"/>
      <c r="B59" s="1"/>
      <c r="C59" s="14"/>
      <c r="D59" s="14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ht="12.75" x14ac:dyDescent="0.2">
      <c r="A60" s="1"/>
      <c r="B60" s="1"/>
      <c r="C60" s="14"/>
      <c r="D60" s="14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ht="12.75" x14ac:dyDescent="0.2">
      <c r="A61" s="1"/>
      <c r="B61" s="1"/>
      <c r="C61" s="14"/>
      <c r="D61" s="14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ht="12.75" x14ac:dyDescent="0.2">
      <c r="A62" s="1"/>
      <c r="B62" s="1"/>
      <c r="C62" s="14"/>
      <c r="D62" s="14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ht="12.75" x14ac:dyDescent="0.2">
      <c r="A63" s="1"/>
      <c r="B63" s="1"/>
      <c r="C63" s="14"/>
      <c r="D63" s="14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ht="12.75" x14ac:dyDescent="0.2">
      <c r="A64" s="1"/>
      <c r="B64" s="1"/>
      <c r="C64" s="14"/>
      <c r="D64" s="14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 ht="12.75" x14ac:dyDescent="0.2">
      <c r="A65" s="1"/>
      <c r="B65" s="1"/>
      <c r="C65" s="14"/>
      <c r="D65" s="14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 ht="12.75" x14ac:dyDescent="0.2">
      <c r="A66" s="1"/>
      <c r="B66" s="1"/>
      <c r="C66" s="14"/>
      <c r="D66" s="14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 ht="12.75" x14ac:dyDescent="0.2">
      <c r="A67" s="1"/>
      <c r="B67" s="1"/>
      <c r="C67" s="14"/>
      <c r="D67" s="14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 ht="12.75" x14ac:dyDescent="0.2">
      <c r="A68" s="1"/>
      <c r="B68" s="1"/>
      <c r="C68" s="14"/>
      <c r="D68" s="14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 ht="12.75" x14ac:dyDescent="0.2">
      <c r="A69" s="1"/>
      <c r="B69" s="1"/>
      <c r="C69" s="14"/>
      <c r="D69" s="14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 ht="12.75" x14ac:dyDescent="0.2">
      <c r="A70" s="1"/>
      <c r="B70" s="1"/>
      <c r="C70" s="14"/>
      <c r="D70" s="14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 ht="12.75" x14ac:dyDescent="0.2">
      <c r="A71" s="1"/>
      <c r="B71" s="1"/>
      <c r="C71" s="14"/>
      <c r="D71" s="14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 ht="12.75" x14ac:dyDescent="0.2">
      <c r="A72" s="1"/>
      <c r="B72" s="1"/>
      <c r="C72" s="14"/>
      <c r="D72" s="14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 ht="12.75" x14ac:dyDescent="0.2">
      <c r="A73" s="1"/>
      <c r="B73" s="1"/>
      <c r="C73" s="14"/>
      <c r="D73" s="14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 ht="12.75" x14ac:dyDescent="0.2">
      <c r="A74" s="1"/>
      <c r="B74" s="1"/>
      <c r="C74" s="14"/>
      <c r="D74" s="14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 ht="12.75" x14ac:dyDescent="0.2">
      <c r="A75" s="1"/>
      <c r="B75" s="1"/>
      <c r="C75" s="14"/>
      <c r="D75" s="14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 ht="12.75" x14ac:dyDescent="0.2">
      <c r="A76" s="1"/>
      <c r="B76" s="1"/>
      <c r="C76" s="14"/>
      <c r="D76" s="14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 ht="12.75" x14ac:dyDescent="0.2">
      <c r="A77" s="1"/>
      <c r="B77" s="1"/>
      <c r="C77" s="14"/>
      <c r="D77" s="14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 ht="12.75" x14ac:dyDescent="0.2">
      <c r="A78" s="1"/>
      <c r="B78" s="1"/>
      <c r="C78" s="14"/>
      <c r="D78" s="14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 ht="12.75" x14ac:dyDescent="0.2">
      <c r="A79" s="1"/>
      <c r="B79" s="1"/>
      <c r="C79" s="14"/>
      <c r="D79" s="14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 ht="12.75" x14ac:dyDescent="0.2">
      <c r="A80" s="1"/>
      <c r="B80" s="1"/>
      <c r="C80" s="14"/>
      <c r="D80" s="14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 ht="12.75" x14ac:dyDescent="0.2">
      <c r="A81" s="1"/>
      <c r="B81" s="1"/>
      <c r="C81" s="14"/>
      <c r="D81" s="14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 ht="12.75" x14ac:dyDescent="0.2">
      <c r="A82" s="1"/>
      <c r="B82" s="1"/>
      <c r="C82" s="14"/>
      <c r="D82" s="14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 ht="12.75" x14ac:dyDescent="0.2">
      <c r="A83" s="1"/>
      <c r="B83" s="1"/>
      <c r="C83" s="14"/>
      <c r="D83" s="14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 ht="12.75" x14ac:dyDescent="0.2">
      <c r="A84" s="1"/>
      <c r="B84" s="1"/>
      <c r="C84" s="14"/>
      <c r="D84" s="14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 ht="12.75" x14ac:dyDescent="0.2">
      <c r="A85" s="1"/>
      <c r="B85" s="1"/>
      <c r="C85" s="14"/>
      <c r="D85" s="14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 ht="12.75" x14ac:dyDescent="0.2">
      <c r="A86" s="1"/>
      <c r="B86" s="1"/>
      <c r="C86" s="14"/>
      <c r="D86" s="14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 ht="12.75" x14ac:dyDescent="0.2">
      <c r="A87" s="1"/>
      <c r="B87" s="1"/>
      <c r="C87" s="14"/>
      <c r="D87" s="14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 ht="12.75" x14ac:dyDescent="0.2">
      <c r="A88" s="1"/>
      <c r="B88" s="1"/>
      <c r="C88" s="14"/>
      <c r="D88" s="14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 ht="12.75" x14ac:dyDescent="0.2">
      <c r="A89" s="1"/>
      <c r="B89" s="1"/>
      <c r="C89" s="14"/>
      <c r="D89" s="14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 ht="12.75" x14ac:dyDescent="0.2">
      <c r="A90" s="1"/>
      <c r="B90" s="1"/>
      <c r="C90" s="14"/>
      <c r="D90" s="14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 ht="12.75" x14ac:dyDescent="0.2">
      <c r="A91" s="1"/>
      <c r="B91" s="1"/>
      <c r="C91" s="14"/>
      <c r="D91" s="14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 ht="12.75" x14ac:dyDescent="0.2">
      <c r="A92" s="1"/>
      <c r="B92" s="1"/>
      <c r="C92" s="14"/>
      <c r="D92" s="14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 ht="12.75" x14ac:dyDescent="0.2">
      <c r="A93" s="1"/>
      <c r="B93" s="1"/>
      <c r="C93" s="14"/>
      <c r="D93" s="14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 ht="12.75" x14ac:dyDescent="0.2">
      <c r="A94" s="1"/>
      <c r="B94" s="1"/>
      <c r="C94" s="14"/>
      <c r="D94" s="14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 ht="12.75" x14ac:dyDescent="0.2">
      <c r="A95" s="1"/>
      <c r="B95" s="1"/>
      <c r="C95" s="14"/>
      <c r="D95" s="14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 ht="12.75" x14ac:dyDescent="0.2">
      <c r="A96" s="1"/>
      <c r="B96" s="1"/>
      <c r="C96" s="14"/>
      <c r="D96" s="14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 ht="12.75" x14ac:dyDescent="0.2">
      <c r="A97" s="1"/>
      <c r="B97" s="1"/>
      <c r="C97" s="14"/>
      <c r="D97" s="14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 ht="12.75" x14ac:dyDescent="0.2">
      <c r="A98" s="1"/>
      <c r="B98" s="1"/>
      <c r="C98" s="14"/>
      <c r="D98" s="14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 ht="12.75" x14ac:dyDescent="0.2">
      <c r="A99" s="1"/>
      <c r="B99" s="1"/>
      <c r="C99" s="14"/>
      <c r="D99" s="14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 ht="12.75" x14ac:dyDescent="0.2">
      <c r="A100" s="1"/>
      <c r="B100" s="1"/>
      <c r="C100" s="14"/>
      <c r="D100" s="14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 ht="12.75" x14ac:dyDescent="0.2">
      <c r="A101" s="1"/>
      <c r="B101" s="1"/>
      <c r="C101" s="14"/>
      <c r="D101" s="14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 ht="12.75" x14ac:dyDescent="0.2">
      <c r="A102" s="1"/>
      <c r="B102" s="1"/>
      <c r="C102" s="14"/>
      <c r="D102" s="14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 ht="12.75" x14ac:dyDescent="0.2">
      <c r="A103" s="1"/>
      <c r="B103" s="1"/>
      <c r="C103" s="14"/>
      <c r="D103" s="14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 ht="12.75" x14ac:dyDescent="0.2">
      <c r="A104" s="1"/>
      <c r="B104" s="1"/>
      <c r="C104" s="14"/>
      <c r="D104" s="14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 ht="12.75" x14ac:dyDescent="0.2">
      <c r="A105" s="1"/>
      <c r="B105" s="1"/>
      <c r="C105" s="14"/>
      <c r="D105" s="14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 ht="12.75" x14ac:dyDescent="0.2">
      <c r="A106" s="1"/>
      <c r="B106" s="1"/>
      <c r="C106" s="14"/>
      <c r="D106" s="14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 ht="12.75" x14ac:dyDescent="0.2">
      <c r="A107" s="1"/>
      <c r="B107" s="1"/>
      <c r="C107" s="14"/>
      <c r="D107" s="14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 ht="12.75" x14ac:dyDescent="0.2">
      <c r="A108" s="1"/>
      <c r="B108" s="1"/>
      <c r="C108" s="14"/>
      <c r="D108" s="14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 ht="12.75" x14ac:dyDescent="0.2">
      <c r="A109" s="1"/>
      <c r="B109" s="1"/>
      <c r="C109" s="14"/>
      <c r="D109" s="14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 ht="12.75" x14ac:dyDescent="0.2">
      <c r="A110" s="1"/>
      <c r="B110" s="1"/>
      <c r="C110" s="14"/>
      <c r="D110" s="14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ht="12.75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ht="12.75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ht="12.75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ht="12.75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ht="12.75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ht="12.75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ht="12.75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ht="12.75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ht="12.75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ht="12.75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ht="12.75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ht="12.75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ht="12.75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ht="12.75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ht="12.75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ht="12.75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ht="12.75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ht="12.75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ht="12.75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ht="12.75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ht="12.75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ht="12.75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ht="12.75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ht="12.75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ht="12.75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ht="12.75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ht="12.75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ht="12.75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ht="12.75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ht="12.75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ht="12.75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ht="12.75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ht="12.75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ht="12.75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ht="12.75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ht="12.75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ht="12.75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ht="12.75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ht="12.75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ht="12.75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ht="12.75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ht="12.75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ht="12.75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ht="12.75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ht="12.75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ht="12.75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ht="12.75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ht="12.75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ht="12.75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ht="12.75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ht="12.75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ht="12.75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ht="12.75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ht="12.75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ht="12.75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ht="12.75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ht="12.75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ht="12.75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ht="12.75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ht="12.75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ht="12.75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ht="12.75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ht="12.75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ht="12.75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ht="12.75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ht="12.75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ht="12.75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ht="12.75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ht="12.75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ht="12.75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ht="12.75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ht="12.75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ht="12.75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ht="12.75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ht="12.75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ht="12.75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ht="12.75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ht="12.75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ht="12.75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ht="12.75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ht="12.75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ht="12.75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ht="12.75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ht="12.75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ht="12.75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ht="12.75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ht="12.75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ht="12.75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ht="12.75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ht="12.75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ht="12.75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ht="12.75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ht="12.75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ht="12.75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ht="12.75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ht="12.75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ht="12.75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ht="12.75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2.75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2.75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2.75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2.75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2.75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2.75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2.75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2.75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ht="12.75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ht="12.75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ht="12.75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ht="12.75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ht="12.75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ht="12.75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ht="12.75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ht="12.75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ht="12.75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ht="12.75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ht="12.75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ht="12.75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ht="12.75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ht="12.75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ht="12.75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ht="12.75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ht="12.75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ht="12.75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ht="12.75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ht="12.75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ht="12.75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ht="12.75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ht="12.75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ht="12.75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ht="12.75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ht="12.75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ht="12.75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ht="12.75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ht="12.75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ht="12.75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ht="12.75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ht="12.75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ht="12.75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ht="12.75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ht="12.75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ht="12.75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ht="12.75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ht="12.75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ht="12.75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ht="12.75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ht="12.75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ht="12.75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ht="12.75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ht="12.75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ht="12.75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ht="12.75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ht="12.75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ht="12.75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ht="12.75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ht="12.75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ht="12.75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ht="12.75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ht="12.75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ht="12.75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ht="12.75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ht="12.75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ht="12.75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ht="12.75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ht="12.75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ht="12.75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ht="12.75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ht="12.75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ht="12.75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ht="12.75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ht="12.75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ht="12.75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ht="12.75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ht="12.75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ht="12.75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ht="12.75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ht="12.75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ht="12.75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ht="12.75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ht="12.75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ht="12.75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ht="12.75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ht="12.75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ht="12.75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ht="12.75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ht="12.75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ht="12.75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ht="12.75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ht="12.75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ht="12.75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ht="12.75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 ht="12.75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 ht="12.75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 ht="12.75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 ht="12.75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 ht="12.75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 ht="12.75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 ht="12.75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 ht="12.75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 ht="12.75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 ht="12.75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 ht="12.75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 ht="12.75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 ht="12.75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 ht="12.75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 ht="12.75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 ht="12.75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 ht="12.75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 ht="12.75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 ht="12.75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 ht="12.75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 ht="12.75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 ht="12.75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 ht="12.75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 ht="12.75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 ht="12.75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 ht="12.75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 ht="12.75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 ht="12.75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 ht="12.75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 ht="12.75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 ht="12.75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 ht="12.75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 ht="12.75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 ht="12.75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 ht="12.75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 ht="12.75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 ht="12.75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 ht="12.75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 ht="12.75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 ht="12.75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 ht="12.75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 ht="12.75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 ht="12.75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 ht="12.75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 ht="12.75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 ht="12.75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 ht="12.75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 ht="12.75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 ht="12.75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 ht="12.75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 ht="12.75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 ht="12.75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 ht="12.75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 ht="12.75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 ht="12.75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 ht="12.75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 ht="12.75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 ht="12.75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 ht="12.75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 ht="12.75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 ht="12.75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 ht="12.75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 ht="12.75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 ht="12.75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 ht="12.75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 ht="12.75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 ht="12.75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 ht="12.75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 ht="12.75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 ht="12.75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 ht="12.75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 ht="12.75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 ht="12.75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 ht="12.75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 ht="12.75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 ht="12.75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 ht="12.75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 ht="12.75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 ht="12.75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 ht="12.75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 ht="12.75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 ht="12.75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 ht="12.75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 ht="12.75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 ht="12.75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 ht="12.75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 ht="12.75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 ht="12.75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 ht="12.75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 ht="12.75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 ht="12.75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 ht="12.75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 ht="12.75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 ht="12.75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 ht="12.75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 ht="12.75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 ht="12.75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 ht="12.75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 ht="12.75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 ht="12.75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 ht="12.75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 ht="12.75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 ht="12.75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 ht="12.75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 ht="12.75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 ht="12.75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 ht="12.75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 ht="12.75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 ht="12.75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 ht="12.75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 ht="12.75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 ht="12.75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 ht="12.75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 ht="12.75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 ht="12.75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 ht="12.75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 ht="12.75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 ht="12.75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 ht="12.75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 ht="12.75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 ht="12.75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 ht="12.75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 ht="12.75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 ht="12.75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 ht="12.75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 ht="12.75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 ht="12.75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 ht="12.75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 ht="12.75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 ht="12.75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 ht="12.75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 ht="12.75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 ht="12.75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 ht="12.75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 ht="12.75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 ht="12.75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 ht="12.75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 ht="12.75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 ht="12.75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 ht="12.75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 ht="12.75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 ht="12.75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 ht="12.75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 ht="12.75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 ht="12.75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 ht="12.75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 ht="12.75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 ht="12.75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 ht="12.75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 ht="12.75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 ht="12.75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 ht="12.75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 ht="12.75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 ht="12.75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 ht="12.75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 ht="12.75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 ht="12.75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 ht="12.75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 ht="12.75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 ht="12.75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 ht="12.75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 ht="12.75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 ht="12.75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 ht="12.75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 ht="12.75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 ht="12.75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 ht="12.75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 ht="12.75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 ht="12.75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 ht="12.75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 ht="12.75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 ht="12.75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 ht="12.75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 ht="12.75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 ht="12.75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 ht="12.75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 ht="12.75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 ht="12.75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 ht="12.75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 ht="12.75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 ht="12.75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 ht="12.75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 ht="12.75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 ht="12.75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 ht="12.75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 ht="12.75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 ht="12.75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 ht="12.75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 ht="12.75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 ht="12.75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 ht="12.75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 ht="12.75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 ht="12.75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 ht="12.75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 ht="12.75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 ht="12.75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 ht="12.75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 ht="12.75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 ht="12.75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 ht="12.75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  <row r="502" spans="1:28" ht="12.75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</row>
    <row r="503" spans="1:28" ht="12.75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</row>
    <row r="504" spans="1:28" ht="12.75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</row>
    <row r="505" spans="1:28" ht="12.75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</row>
    <row r="506" spans="1:28" ht="12.75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</row>
    <row r="507" spans="1:28" ht="12.75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</row>
    <row r="508" spans="1:28" ht="12.75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 ht="12.75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 ht="12.75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 ht="12.75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 ht="12.75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 ht="12.75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 ht="12.75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 ht="12.75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 ht="12.75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 ht="12.75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 ht="12.75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 ht="12.75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 ht="12.75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 ht="12.75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 ht="12.75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 ht="12.75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 ht="12.75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 ht="12.75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 ht="12.75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 ht="12.75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 ht="12.75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 ht="12.75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 ht="12.75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 ht="12.75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 ht="12.75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 ht="12.75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 ht="12.75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 ht="12.75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 ht="12.75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 ht="12.75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 ht="12.75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 ht="12.75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 ht="12.75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 ht="12.75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 ht="12.75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 ht="12.75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 ht="12.75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 ht="12.75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 ht="12.75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 ht="12.75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 ht="12.75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 ht="12.75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 ht="12.75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 ht="12.75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 ht="12.75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 ht="12.75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 ht="12.75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 ht="12.75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 ht="12.75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 ht="12.75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 ht="12.75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 ht="12.75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 ht="12.75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 ht="12.75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 ht="12.75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 ht="12.75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 ht="12.75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 ht="12.75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 ht="12.75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 ht="12.75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 ht="12.75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 ht="12.75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 ht="12.75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 ht="12.75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 ht="12.75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 ht="12.75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 ht="12.75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 ht="12.75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 ht="12.75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 ht="12.75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 ht="12.75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 ht="12.75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 ht="12.75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 ht="12.75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 ht="12.75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 ht="12.75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 ht="12.75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</row>
    <row r="585" spans="1:28" ht="12.75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</row>
    <row r="586" spans="1:28" ht="12.75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</row>
    <row r="587" spans="1:28" ht="12.75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</row>
    <row r="588" spans="1:28" ht="12.75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</row>
    <row r="589" spans="1:28" ht="12.75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</row>
    <row r="590" spans="1:28" ht="12.75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</row>
    <row r="591" spans="1:28" ht="12.75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</row>
    <row r="592" spans="1:28" ht="12.75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</row>
    <row r="593" spans="1:28" ht="12.75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</row>
    <row r="594" spans="1:28" ht="12.75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</row>
    <row r="595" spans="1:28" ht="12.75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</row>
    <row r="596" spans="1:28" ht="12.75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</row>
    <row r="597" spans="1:28" ht="12.75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</row>
    <row r="598" spans="1:28" ht="12.75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</row>
    <row r="599" spans="1:28" ht="12.75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</row>
    <row r="600" spans="1:28" ht="12.75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</row>
    <row r="601" spans="1:28" ht="12.75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</row>
    <row r="602" spans="1:28" ht="12.75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</row>
    <row r="603" spans="1:28" ht="12.75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</row>
    <row r="604" spans="1:28" ht="12.75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</row>
    <row r="605" spans="1:28" ht="12.75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</row>
    <row r="606" spans="1:28" ht="12.75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</row>
    <row r="607" spans="1:28" ht="12.75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</row>
    <row r="608" spans="1:28" ht="12.75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</row>
    <row r="609" spans="1:28" ht="12.75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</row>
    <row r="610" spans="1:28" ht="12.75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</row>
    <row r="611" spans="1:28" ht="12.75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</row>
    <row r="612" spans="1:28" ht="12.75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</row>
    <row r="613" spans="1:28" ht="12.75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</row>
    <row r="614" spans="1:28" ht="12.75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</row>
    <row r="615" spans="1:28" ht="12.75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</row>
    <row r="616" spans="1:28" ht="12.75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</row>
    <row r="617" spans="1:28" ht="12.75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</row>
    <row r="618" spans="1:28" ht="12.75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</row>
    <row r="619" spans="1:28" ht="12.75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</row>
    <row r="620" spans="1:28" ht="12.75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</row>
    <row r="621" spans="1:28" ht="12.75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</row>
    <row r="622" spans="1:28" ht="12.75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</row>
    <row r="623" spans="1:28" ht="12.75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</row>
    <row r="624" spans="1:28" ht="12.75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</row>
    <row r="625" spans="1:28" ht="12.75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</row>
    <row r="626" spans="1:28" ht="12.75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</row>
    <row r="627" spans="1:28" ht="12.75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</row>
    <row r="628" spans="1:28" ht="12.75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</row>
    <row r="629" spans="1:28" ht="12.75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</row>
    <row r="630" spans="1:28" ht="12.75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</row>
    <row r="631" spans="1:28" ht="12.75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</row>
    <row r="632" spans="1:28" ht="12.75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</row>
    <row r="633" spans="1:28" ht="12.75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</row>
    <row r="634" spans="1:28" ht="12.75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</row>
    <row r="635" spans="1:28" ht="12.75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</row>
    <row r="636" spans="1:28" ht="12.75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</row>
    <row r="637" spans="1:28" ht="12.75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</row>
    <row r="638" spans="1:28" ht="12.75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</row>
    <row r="639" spans="1:28" ht="12.75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</row>
    <row r="640" spans="1:28" ht="12.75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</row>
    <row r="641" spans="1:28" ht="12.75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</row>
    <row r="642" spans="1:28" ht="12.75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</row>
    <row r="643" spans="1:28" ht="12.75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</row>
    <row r="644" spans="1:28" ht="12.75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</row>
    <row r="645" spans="1:28" ht="12.75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</row>
    <row r="646" spans="1:28" ht="12.75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</row>
    <row r="647" spans="1:28" ht="12.75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</row>
    <row r="648" spans="1:28" ht="12.75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</row>
    <row r="649" spans="1:28" ht="12.75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</row>
    <row r="650" spans="1:28" ht="12.75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</row>
    <row r="651" spans="1:28" ht="12.75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</row>
    <row r="652" spans="1:28" ht="12.75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</row>
    <row r="653" spans="1:28" ht="12.75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</row>
    <row r="654" spans="1:28" ht="12.75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</row>
    <row r="655" spans="1:28" ht="12.75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</row>
    <row r="656" spans="1:28" ht="12.75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</row>
    <row r="657" spans="1:28" ht="12.75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</row>
    <row r="658" spans="1:28" ht="12.75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</row>
    <row r="659" spans="1:28" ht="12.75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</row>
    <row r="660" spans="1:28" ht="12.75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</row>
    <row r="661" spans="1:28" ht="12.75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</row>
    <row r="662" spans="1:28" ht="12.75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</row>
    <row r="663" spans="1:28" ht="12.75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</row>
    <row r="664" spans="1:28" ht="12.75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</row>
    <row r="665" spans="1:28" ht="12.75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</row>
    <row r="666" spans="1:28" ht="12.75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</row>
    <row r="667" spans="1:28" ht="12.75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</row>
    <row r="668" spans="1:28" ht="12.75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</row>
    <row r="669" spans="1:28" ht="12.75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</row>
    <row r="670" spans="1:28" ht="12.75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</row>
    <row r="671" spans="1:28" ht="12.75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</row>
    <row r="672" spans="1:28" ht="12.75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</row>
    <row r="673" spans="1:28" ht="12.75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</row>
    <row r="674" spans="1:28" ht="12.75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</row>
    <row r="675" spans="1:28" ht="12.75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</row>
    <row r="676" spans="1:28" ht="12.75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</row>
    <row r="677" spans="1:28" ht="12.75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</row>
    <row r="678" spans="1:28" ht="12.75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</row>
    <row r="679" spans="1:28" ht="12.75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</row>
    <row r="680" spans="1:28" ht="12.75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</row>
    <row r="681" spans="1:28" ht="12.75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</row>
    <row r="682" spans="1:28" ht="12.75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</row>
    <row r="683" spans="1:28" ht="12.75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</row>
    <row r="684" spans="1:28" ht="12.75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</row>
    <row r="685" spans="1:28" ht="12.75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</row>
    <row r="686" spans="1:28" ht="12.75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</row>
    <row r="687" spans="1:28" ht="12.75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</row>
    <row r="688" spans="1:28" ht="12.75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</row>
    <row r="689" spans="1:28" ht="12.75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</row>
    <row r="690" spans="1:28" ht="12.75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</row>
    <row r="691" spans="1:28" ht="12.75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</row>
    <row r="692" spans="1:28" ht="12.75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</row>
    <row r="693" spans="1:28" ht="12.75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</row>
    <row r="694" spans="1:28" ht="12.75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</row>
    <row r="695" spans="1:28" ht="12.75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</row>
    <row r="696" spans="1:28" ht="12.75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</row>
    <row r="697" spans="1:28" ht="12.75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</row>
    <row r="698" spans="1:28" ht="12.75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</row>
    <row r="699" spans="1:28" ht="12.75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</row>
    <row r="700" spans="1:28" ht="12.75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</row>
    <row r="701" spans="1:28" ht="12.75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</row>
    <row r="702" spans="1:28" ht="12.75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</row>
    <row r="703" spans="1:28" ht="12.75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</row>
    <row r="704" spans="1:28" ht="12.75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</row>
    <row r="705" spans="1:28" ht="12.75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</row>
    <row r="706" spans="1:28" ht="12.75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</row>
    <row r="707" spans="1:28" ht="12.75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</row>
    <row r="708" spans="1:28" ht="12.75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</row>
    <row r="709" spans="1:28" ht="12.75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</row>
    <row r="710" spans="1:28" ht="12.75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</row>
    <row r="711" spans="1:28" ht="12.75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</row>
    <row r="712" spans="1:28" ht="12.75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</row>
    <row r="713" spans="1:28" ht="12.75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</row>
    <row r="714" spans="1:28" ht="12.75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</row>
    <row r="715" spans="1:28" ht="12.75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</row>
    <row r="716" spans="1:28" ht="12.75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</row>
    <row r="717" spans="1:28" ht="12.75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</row>
    <row r="718" spans="1:28" ht="12.75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</row>
    <row r="719" spans="1:28" ht="12.75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</row>
    <row r="720" spans="1:28" ht="12.75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</row>
    <row r="721" spans="1:28" ht="12.75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</row>
    <row r="722" spans="1:28" ht="12.75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</row>
    <row r="723" spans="1:28" ht="12.75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</row>
    <row r="724" spans="1:28" ht="12.75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</row>
    <row r="725" spans="1:28" ht="12.75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</row>
    <row r="726" spans="1:28" ht="12.75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</row>
    <row r="727" spans="1:28" ht="12.75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</row>
    <row r="728" spans="1:28" ht="12.75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</row>
    <row r="729" spans="1:28" ht="12.75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</row>
    <row r="730" spans="1:28" ht="12.75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</row>
    <row r="731" spans="1:28" ht="12.75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</row>
    <row r="732" spans="1:28" ht="12.75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</row>
    <row r="733" spans="1:28" ht="12.75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</row>
    <row r="734" spans="1:28" ht="12.75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</row>
    <row r="735" spans="1:28" ht="12.75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</row>
    <row r="736" spans="1:28" ht="12.75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</row>
    <row r="737" spans="1:28" ht="12.75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</row>
    <row r="738" spans="1:28" ht="12.75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</row>
    <row r="739" spans="1:28" ht="12.75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</row>
    <row r="740" spans="1:28" ht="12.75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</row>
    <row r="741" spans="1:28" ht="12.75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</row>
    <row r="742" spans="1:28" ht="12.75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</row>
    <row r="743" spans="1:28" ht="12.75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</row>
    <row r="744" spans="1:28" ht="12.75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</row>
    <row r="745" spans="1:28" ht="12.75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</row>
    <row r="746" spans="1:28" ht="12.75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</row>
    <row r="747" spans="1:28" ht="12.75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</row>
    <row r="748" spans="1:28" ht="12.75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</row>
    <row r="749" spans="1:28" ht="12.75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</row>
    <row r="750" spans="1:28" ht="12.75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</row>
    <row r="751" spans="1:28" ht="12.75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</row>
    <row r="752" spans="1:28" ht="12.75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</row>
    <row r="753" spans="1:28" ht="12.75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</row>
    <row r="754" spans="1:28" ht="12.75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</row>
    <row r="755" spans="1:28" ht="12.75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</row>
    <row r="756" spans="1:28" ht="12.75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</row>
    <row r="757" spans="1:28" ht="12.75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</row>
    <row r="758" spans="1:28" ht="12.75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</row>
    <row r="759" spans="1:28" ht="12.75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</row>
    <row r="760" spans="1:28" ht="12.75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</row>
    <row r="761" spans="1:28" ht="12.75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</row>
    <row r="762" spans="1:28" ht="12.75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</row>
    <row r="763" spans="1:28" ht="12.75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</row>
    <row r="764" spans="1:28" ht="12.75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</row>
    <row r="765" spans="1:28" ht="12.75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</row>
    <row r="766" spans="1:28" ht="12.75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</row>
    <row r="767" spans="1:28" ht="12.75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</row>
    <row r="768" spans="1:28" ht="12.75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</row>
    <row r="769" spans="1:28" ht="12.75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</row>
    <row r="770" spans="1:28" ht="12.75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</row>
    <row r="771" spans="1:28" ht="12.75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</row>
    <row r="772" spans="1:28" ht="12.75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</row>
    <row r="773" spans="1:28" ht="12.75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</row>
    <row r="774" spans="1:28" ht="12.75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</row>
    <row r="775" spans="1:28" ht="12.75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</row>
    <row r="776" spans="1:28" ht="12.75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</row>
    <row r="777" spans="1:28" ht="12.75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</row>
    <row r="778" spans="1:28" ht="12.75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</row>
    <row r="779" spans="1:28" ht="12.75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</row>
    <row r="780" spans="1:28" ht="12.75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</row>
    <row r="781" spans="1:28" ht="12.75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</row>
    <row r="782" spans="1:28" ht="12.75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</row>
    <row r="783" spans="1:28" ht="12.75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</row>
    <row r="784" spans="1:28" ht="12.75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</row>
    <row r="785" spans="1:28" ht="12.75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</row>
    <row r="786" spans="1:28" ht="12.75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</row>
    <row r="787" spans="1:28" ht="12.75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</row>
    <row r="788" spans="1:28" ht="12.75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</row>
    <row r="789" spans="1:28" ht="12.75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</row>
    <row r="790" spans="1:28" ht="12.75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</row>
    <row r="791" spans="1:28" ht="12.75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</row>
    <row r="792" spans="1:28" ht="12.75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</row>
    <row r="793" spans="1:28" ht="12.75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</row>
    <row r="794" spans="1:28" ht="12.75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</row>
    <row r="795" spans="1:28" ht="12.75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</row>
    <row r="796" spans="1:28" ht="12.75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</row>
    <row r="797" spans="1:28" ht="12.75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</row>
    <row r="798" spans="1:28" ht="12.75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</row>
    <row r="799" spans="1:28" ht="12.75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</row>
    <row r="800" spans="1:28" ht="12.75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</row>
    <row r="801" spans="1:28" ht="12.75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</row>
    <row r="802" spans="1:28" ht="12.75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</row>
    <row r="803" spans="1:28" ht="12.75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</row>
    <row r="804" spans="1:28" ht="12.75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</row>
    <row r="805" spans="1:28" ht="12.75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</row>
    <row r="806" spans="1:28" ht="12.75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</row>
    <row r="807" spans="1:28" ht="12.75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</row>
    <row r="808" spans="1:28" ht="12.75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</row>
    <row r="809" spans="1:28" ht="12.75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</row>
    <row r="810" spans="1:28" ht="12.75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</row>
    <row r="811" spans="1:28" ht="12.75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</row>
    <row r="812" spans="1:28" ht="12.75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</row>
    <row r="813" spans="1:28" ht="12.75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</row>
    <row r="814" spans="1:28" ht="12.75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</row>
    <row r="815" spans="1:28" ht="12.75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</row>
    <row r="816" spans="1:28" ht="12.75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</row>
    <row r="817" spans="1:28" ht="12.75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</row>
    <row r="818" spans="1:28" ht="12.75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</row>
    <row r="819" spans="1:28" ht="12.75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</row>
    <row r="820" spans="1:28" ht="12.75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</row>
    <row r="821" spans="1:28" ht="12.75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</row>
    <row r="822" spans="1:28" ht="12.75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</row>
    <row r="823" spans="1:28" ht="12.75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</row>
    <row r="824" spans="1:28" ht="12.75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</row>
    <row r="825" spans="1:28" ht="12.75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</row>
    <row r="826" spans="1:28" ht="12.75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</row>
    <row r="827" spans="1:28" ht="12.75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</row>
    <row r="828" spans="1:28" ht="12.75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</row>
    <row r="829" spans="1:28" ht="12.75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</row>
    <row r="830" spans="1:28" ht="12.75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</row>
    <row r="831" spans="1:28" ht="12.75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</row>
    <row r="832" spans="1:28" ht="12.75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</row>
    <row r="833" spans="1:28" ht="12.75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</row>
    <row r="834" spans="1:28" ht="12.75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</row>
    <row r="835" spans="1:28" ht="12.75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</row>
    <row r="836" spans="1:28" ht="12.75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</row>
    <row r="837" spans="1:28" ht="12.75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</row>
    <row r="838" spans="1:28" ht="12.75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</row>
    <row r="839" spans="1:28" ht="12.75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</row>
    <row r="840" spans="1:28" ht="12.75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</row>
    <row r="841" spans="1:28" ht="12.75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</row>
    <row r="842" spans="1:28" ht="12.75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</row>
    <row r="843" spans="1:28" ht="12.75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</row>
    <row r="844" spans="1:28" ht="12.75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</row>
    <row r="845" spans="1:28" ht="12.75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</row>
    <row r="846" spans="1:28" ht="12.75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</row>
    <row r="847" spans="1:28" ht="12.75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</row>
    <row r="848" spans="1:28" ht="12.75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</row>
    <row r="849" spans="1:28" ht="12.75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</row>
    <row r="850" spans="1:28" ht="12.75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</row>
    <row r="851" spans="1:28" ht="12.75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</row>
    <row r="852" spans="1:28" ht="12.75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</row>
    <row r="853" spans="1:28" ht="12.75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</row>
    <row r="854" spans="1:28" ht="12.75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</row>
    <row r="855" spans="1:28" ht="12.75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</row>
    <row r="856" spans="1:28" ht="12.75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</row>
    <row r="857" spans="1:28" ht="12.75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</row>
    <row r="858" spans="1:28" ht="12.75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</row>
    <row r="859" spans="1:28" ht="12.75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</row>
    <row r="860" spans="1:28" ht="12.75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</row>
    <row r="861" spans="1:28" ht="12.75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</row>
    <row r="862" spans="1:28" ht="12.75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</row>
    <row r="863" spans="1:28" ht="12.75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</row>
    <row r="864" spans="1:28" ht="12.75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</row>
    <row r="865" spans="1:28" ht="12.75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</row>
    <row r="866" spans="1:28" ht="12.75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</row>
    <row r="867" spans="1:28" ht="12.75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</row>
    <row r="868" spans="1:28" ht="12.75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</row>
    <row r="869" spans="1:28" ht="12.75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</row>
    <row r="870" spans="1:28" ht="12.75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</row>
    <row r="871" spans="1:28" ht="12.75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</row>
    <row r="872" spans="1:28" ht="12.75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</row>
    <row r="873" spans="1:28" ht="12.75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</row>
    <row r="874" spans="1:28" ht="12.75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</row>
    <row r="875" spans="1:28" ht="12.75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</row>
    <row r="876" spans="1:28" ht="12.75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</row>
    <row r="877" spans="1:28" ht="12.75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</row>
    <row r="878" spans="1:28" ht="12.75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</row>
    <row r="879" spans="1:28" ht="12.75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</row>
    <row r="880" spans="1:28" ht="12.75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</row>
    <row r="881" spans="1:28" ht="12.75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</row>
    <row r="882" spans="1:28" ht="12.75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</row>
    <row r="883" spans="1:28" ht="12.75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</row>
    <row r="884" spans="1:28" ht="12.75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</row>
    <row r="885" spans="1:28" ht="12.75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</row>
    <row r="886" spans="1:28" ht="12.75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</row>
    <row r="887" spans="1:28" ht="12.75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</row>
    <row r="888" spans="1:28" ht="12.75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</row>
    <row r="889" spans="1:28" ht="12.75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</row>
    <row r="890" spans="1:28" ht="12.75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</row>
    <row r="891" spans="1:28" ht="12.75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</row>
    <row r="892" spans="1:28" ht="12.75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</row>
    <row r="893" spans="1:28" ht="12.75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</row>
    <row r="894" spans="1:28" ht="12.75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</row>
    <row r="895" spans="1:28" ht="12.75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</row>
    <row r="896" spans="1:28" ht="12.75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</row>
    <row r="897" spans="1:28" ht="12.75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</row>
    <row r="898" spans="1:28" ht="12.75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</row>
    <row r="899" spans="1:28" ht="12.75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</row>
    <row r="900" spans="1:28" ht="12.75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</row>
    <row r="901" spans="1:28" ht="12.75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</row>
    <row r="902" spans="1:28" ht="12.75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</row>
    <row r="903" spans="1:28" ht="12.75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</row>
    <row r="904" spans="1:28" ht="12.75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</row>
    <row r="905" spans="1:28" ht="12.75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</row>
    <row r="906" spans="1:28" ht="12.75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</row>
    <row r="907" spans="1:28" ht="12.75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</row>
    <row r="908" spans="1:28" ht="12.75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</row>
    <row r="909" spans="1:28" ht="12.75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</row>
    <row r="910" spans="1:28" ht="12.75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</row>
    <row r="911" spans="1:28" ht="12.75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</row>
    <row r="912" spans="1:28" ht="12.75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</row>
    <row r="913" spans="1:28" ht="12.75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</row>
    <row r="914" spans="1:28" ht="12.75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</row>
    <row r="915" spans="1:28" ht="12.75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</row>
    <row r="916" spans="1:28" ht="12.75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</row>
    <row r="917" spans="1:28" ht="12.75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</row>
    <row r="918" spans="1:28" ht="12.75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</row>
    <row r="919" spans="1:28" ht="12.75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</row>
    <row r="920" spans="1:28" ht="12.75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</row>
    <row r="921" spans="1:28" ht="12.75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</row>
    <row r="922" spans="1:28" ht="12.75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</row>
    <row r="923" spans="1:28" ht="12.75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</row>
    <row r="924" spans="1:28" ht="12.75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</row>
    <row r="925" spans="1:28" ht="12.75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</row>
    <row r="926" spans="1:28" ht="12.75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</row>
    <row r="927" spans="1:28" ht="12.75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</row>
    <row r="928" spans="1:28" ht="12.75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</row>
    <row r="929" spans="1:28" ht="12.75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</row>
    <row r="930" spans="1:28" ht="12.75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</row>
    <row r="931" spans="1:28" ht="12.75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</row>
    <row r="932" spans="1:28" ht="12.75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</row>
    <row r="933" spans="1:28" ht="12.75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</row>
    <row r="934" spans="1:28" ht="12.75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</row>
    <row r="935" spans="1:28" ht="12.75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</row>
    <row r="936" spans="1:28" ht="12.75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</row>
    <row r="937" spans="1:28" ht="12.75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</row>
    <row r="938" spans="1:28" ht="12.75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</row>
    <row r="939" spans="1:28" ht="12.75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</row>
    <row r="940" spans="1:28" ht="12.75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</row>
    <row r="941" spans="1:28" ht="12.75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</row>
    <row r="942" spans="1:28" ht="12.75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</row>
    <row r="943" spans="1:28" ht="12.75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</row>
    <row r="944" spans="1:28" ht="12.75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</row>
    <row r="945" spans="1:28" ht="12.75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</row>
    <row r="946" spans="1:28" ht="12.75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</row>
    <row r="947" spans="1:28" ht="12.75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</row>
    <row r="948" spans="1:28" ht="12.75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</row>
    <row r="949" spans="1:28" ht="12.75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</row>
    <row r="950" spans="1:28" ht="12.75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</row>
    <row r="951" spans="1:28" ht="12.75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</row>
    <row r="952" spans="1:28" ht="12.75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</row>
    <row r="953" spans="1:28" ht="12.75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</row>
    <row r="954" spans="1:28" ht="12.75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</row>
    <row r="955" spans="1:28" ht="12.75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</row>
    <row r="956" spans="1:28" ht="12.75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</row>
    <row r="957" spans="1:28" ht="12.75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</row>
    <row r="958" spans="1:28" ht="12.75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</row>
    <row r="959" spans="1:28" ht="12.75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</row>
    <row r="960" spans="1:28" ht="12.75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</row>
    <row r="961" spans="1:28" ht="12.75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</row>
    <row r="962" spans="1:28" ht="12.75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</row>
    <row r="963" spans="1:28" ht="12.75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</row>
    <row r="964" spans="1:28" ht="12.75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</row>
    <row r="965" spans="1:28" ht="12.75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</row>
    <row r="966" spans="1:28" ht="12.75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</row>
    <row r="967" spans="1:28" ht="12.75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</row>
    <row r="968" spans="1:28" ht="12.75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</row>
    <row r="969" spans="1:28" ht="12.75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</row>
    <row r="970" spans="1:28" ht="12.75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</row>
    <row r="971" spans="1:28" ht="12.75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</row>
    <row r="972" spans="1:28" ht="12.75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</row>
    <row r="973" spans="1:28" ht="12.75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</row>
    <row r="974" spans="1:28" ht="12.75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</row>
    <row r="975" spans="1:28" ht="12.75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</row>
    <row r="976" spans="1:28" ht="12.75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</row>
    <row r="977" spans="1:28" ht="12.75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</row>
    <row r="978" spans="1:28" ht="12.75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</row>
    <row r="979" spans="1:28" ht="12.75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</row>
    <row r="980" spans="1:28" ht="12.75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</row>
    <row r="981" spans="1:28" ht="12.75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</row>
    <row r="982" spans="1:28" ht="12.75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</row>
    <row r="983" spans="1:28" ht="12.75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</row>
    <row r="984" spans="1:28" ht="12.75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</row>
    <row r="985" spans="1:28" ht="12.75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</row>
    <row r="986" spans="1:28" ht="12.75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</row>
    <row r="987" spans="1:28" ht="12.75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</row>
    <row r="988" spans="1:28" ht="12.75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</row>
    <row r="989" spans="1:28" ht="12.75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</row>
    <row r="990" spans="1:28" ht="12.75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</row>
    <row r="991" spans="1:28" ht="12.75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</row>
    <row r="992" spans="1:28" ht="12.75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</row>
    <row r="993" spans="1:28" ht="12.75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</row>
    <row r="994" spans="1:28" ht="12.75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</row>
    <row r="995" spans="1:28" ht="12.75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</row>
    <row r="996" spans="1:28" ht="12.75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</row>
    <row r="997" spans="1:28" ht="12.75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</row>
    <row r="998" spans="1:28" ht="12.75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</row>
    <row r="999" spans="1:28" ht="12.75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</row>
    <row r="1000" spans="1:28" ht="12.75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</row>
    <row r="1001" spans="1:28" ht="12.75" x14ac:dyDescent="0.2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</row>
    <row r="1002" spans="1:28" ht="12.75" x14ac:dyDescent="0.2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</row>
    <row r="1003" spans="1:28" ht="12.75" x14ac:dyDescent="0.2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</row>
    <row r="1004" spans="1:28" ht="12.75" x14ac:dyDescent="0.2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</row>
  </sheetData>
  <mergeCells count="8">
    <mergeCell ref="A1:B2"/>
    <mergeCell ref="O1:O3"/>
    <mergeCell ref="M1:N2"/>
    <mergeCell ref="E1:K1"/>
    <mergeCell ref="E2:G2"/>
    <mergeCell ref="H2:K2"/>
    <mergeCell ref="H3:I3"/>
    <mergeCell ref="C1:D2"/>
  </mergeCells>
  <phoneticPr fontId="8" type="noConversion"/>
  <conditionalFormatting sqref="C1:D2">
    <cfRule type="containsBlanks" dxfId="34" priority="1">
      <formula>LEN(TRIM(C1))=0</formula>
    </cfRule>
  </conditionalFormatting>
  <pageMargins left="0.7" right="0.7" top="0.75" bottom="0.75" header="0.3" footer="0.3"/>
  <pageSetup scale="7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CreateFormsButton">
          <controlPr defaultSize="0" autoLine="0" r:id="rId5">
            <anchor moveWithCells="1">
              <from>
                <xdr:col>15</xdr:col>
                <xdr:colOff>66675</xdr:colOff>
                <xdr:row>0</xdr:row>
                <xdr:rowOff>28575</xdr:rowOff>
              </from>
              <to>
                <xdr:col>16</xdr:col>
                <xdr:colOff>704850</xdr:colOff>
                <xdr:row>2</xdr:row>
                <xdr:rowOff>95250</xdr:rowOff>
              </to>
            </anchor>
          </controlPr>
        </control>
      </mc:Choice>
      <mc:Fallback>
        <control shapeId="2049" r:id="rId4" name="CreateFormsButton"/>
      </mc:Fallback>
    </mc:AlternateContent>
    <mc:AlternateContent xmlns:mc="http://schemas.openxmlformats.org/markup-compatibility/2006">
      <mc:Choice Requires="x14">
        <control shapeId="2050" r:id="rId6" name="ResetButton">
          <controlPr defaultSize="0" autoLine="0" r:id="rId7">
            <anchor moveWithCells="1">
              <from>
                <xdr:col>15</xdr:col>
                <xdr:colOff>333375</xdr:colOff>
                <xdr:row>2</xdr:row>
                <xdr:rowOff>114300</xdr:rowOff>
              </from>
              <to>
                <xdr:col>16</xdr:col>
                <xdr:colOff>295275</xdr:colOff>
                <xdr:row>5</xdr:row>
                <xdr:rowOff>66675</xdr:rowOff>
              </to>
            </anchor>
          </controlPr>
        </control>
      </mc:Choice>
      <mc:Fallback>
        <control shapeId="2050" r:id="rId6" name="Rese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ending2"/>
  <dimension ref="A1:BB118"/>
  <sheetViews>
    <sheetView zoomScale="70" zoomScaleNormal="70" zoomScaleSheetLayoutView="50" workbookViewId="0">
      <selection activeCell="N30" sqref="N30"/>
    </sheetView>
  </sheetViews>
  <sheetFormatPr defaultColWidth="9.42578125" defaultRowHeight="14.25" x14ac:dyDescent="0.2"/>
  <cols>
    <col min="1" max="2" width="10.42578125" style="27" customWidth="1"/>
    <col min="3" max="3" width="24.42578125" style="26" customWidth="1"/>
    <col min="4" max="5" width="21.42578125" style="26" customWidth="1"/>
    <col min="6" max="6" width="27.5703125" style="26" customWidth="1"/>
    <col min="7" max="7" width="22.42578125" style="26" customWidth="1"/>
    <col min="8" max="8" width="25.42578125" style="26" customWidth="1"/>
    <col min="9" max="9" width="22.42578125" style="26" customWidth="1"/>
    <col min="10" max="10" width="12.5703125" style="27" customWidth="1"/>
    <col min="11" max="11" width="9.42578125" style="27"/>
    <col min="12" max="12" width="21.5703125" style="27" customWidth="1"/>
    <col min="13" max="14" width="9.42578125" style="27"/>
    <col min="15" max="15" width="10.42578125" style="27" customWidth="1"/>
    <col min="16" max="18" width="0" style="27" hidden="1" customWidth="1"/>
    <col min="19" max="21" width="1.5703125" style="27" customWidth="1"/>
    <col min="22" max="27" width="9.42578125" style="27"/>
    <col min="28" max="28" width="9.5703125" style="27" customWidth="1"/>
    <col min="29" max="54" width="9.42578125" style="27"/>
    <col min="55" max="16384" width="9.42578125" style="26"/>
  </cols>
  <sheetData>
    <row r="1" spans="1:30" s="27" customFormat="1" ht="15" thickBot="1" x14ac:dyDescent="0.25">
      <c r="A1" s="27">
        <f>1</f>
        <v>1</v>
      </c>
      <c r="B1" s="27">
        <f t="shared" ref="B1:R1" si="0">A1+1</f>
        <v>2</v>
      </c>
      <c r="C1" s="27">
        <f t="shared" si="0"/>
        <v>3</v>
      </c>
      <c r="D1" s="27">
        <f t="shared" si="0"/>
        <v>4</v>
      </c>
      <c r="E1" s="27">
        <f t="shared" si="0"/>
        <v>5</v>
      </c>
      <c r="F1" s="27">
        <f t="shared" si="0"/>
        <v>6</v>
      </c>
      <c r="G1" s="27">
        <f t="shared" si="0"/>
        <v>7</v>
      </c>
      <c r="H1" s="27">
        <f t="shared" si="0"/>
        <v>8</v>
      </c>
      <c r="I1" s="27">
        <f t="shared" si="0"/>
        <v>9</v>
      </c>
      <c r="J1" s="27">
        <f t="shared" si="0"/>
        <v>10</v>
      </c>
      <c r="K1" s="27">
        <f t="shared" si="0"/>
        <v>11</v>
      </c>
      <c r="L1" s="27">
        <f t="shared" si="0"/>
        <v>12</v>
      </c>
      <c r="M1" s="27">
        <f t="shared" si="0"/>
        <v>13</v>
      </c>
      <c r="N1" s="27">
        <f t="shared" si="0"/>
        <v>14</v>
      </c>
      <c r="O1" s="27">
        <f t="shared" si="0"/>
        <v>15</v>
      </c>
      <c r="P1" s="27">
        <f t="shared" si="0"/>
        <v>16</v>
      </c>
      <c r="Q1" s="27">
        <f t="shared" si="0"/>
        <v>17</v>
      </c>
      <c r="R1" s="27">
        <f t="shared" si="0"/>
        <v>18</v>
      </c>
      <c r="S1" s="27">
        <f t="shared" ref="S1" si="1">R1+1</f>
        <v>19</v>
      </c>
      <c r="T1" s="27">
        <f t="shared" ref="T1" si="2">S1+1</f>
        <v>20</v>
      </c>
      <c r="U1" s="27">
        <f t="shared" ref="U1" si="3">T1+1</f>
        <v>21</v>
      </c>
      <c r="V1" s="27">
        <f t="shared" ref="V1" si="4">U1+1</f>
        <v>22</v>
      </c>
      <c r="W1" s="27">
        <f t="shared" ref="W1" si="5">V1+1</f>
        <v>23</v>
      </c>
      <c r="X1" s="27">
        <f t="shared" ref="X1" si="6">W1+1</f>
        <v>24</v>
      </c>
      <c r="Y1" s="27">
        <f t="shared" ref="Y1" si="7">X1+1</f>
        <v>25</v>
      </c>
      <c r="Z1" s="27">
        <f t="shared" ref="Z1" si="8">Y1+1</f>
        <v>26</v>
      </c>
      <c r="AA1" s="27">
        <f t="shared" ref="AA1" si="9">Z1+1</f>
        <v>27</v>
      </c>
      <c r="AB1" s="27">
        <f t="shared" ref="AB1" si="10">AA1+1</f>
        <v>28</v>
      </c>
      <c r="AC1" s="27">
        <f t="shared" ref="AC1" si="11">AB1+1</f>
        <v>29</v>
      </c>
    </row>
    <row r="2" spans="1:30" ht="32.25" customHeight="1" thickBot="1" x14ac:dyDescent="0.35">
      <c r="B2" s="62"/>
      <c r="C2" s="165"/>
      <c r="D2" s="165"/>
      <c r="E2" s="165"/>
      <c r="F2" s="103"/>
      <c r="G2" s="62"/>
      <c r="H2" s="27"/>
      <c r="I2" s="27"/>
      <c r="V2" s="66" t="s">
        <v>56</v>
      </c>
    </row>
    <row r="3" spans="1:30" ht="41.25" customHeight="1" x14ac:dyDescent="0.3">
      <c r="B3" s="62"/>
      <c r="C3" s="174"/>
      <c r="D3" s="175"/>
      <c r="E3" s="175"/>
      <c r="F3" s="176"/>
      <c r="G3" s="93"/>
      <c r="H3" s="92"/>
      <c r="I3" s="92"/>
      <c r="S3" s="65"/>
      <c r="V3" s="80" t="s">
        <v>60</v>
      </c>
      <c r="W3" s="153" t="b">
        <f>IF($W$12=TRUE,(V4*$V$11^0.5+$V$11+1)/2,FALSE)</f>
        <v>0</v>
      </c>
      <c r="X3" s="154"/>
      <c r="Y3" s="153" t="b">
        <f>IF($Y$12=TRUE,(V4*$V$11^0.5+$V$11+1)/2,FALSE)</f>
        <v>0</v>
      </c>
      <c r="Z3" s="154"/>
      <c r="AB3" s="164"/>
      <c r="AC3" s="164"/>
    </row>
    <row r="4" spans="1:30" ht="19.5" customHeight="1" x14ac:dyDescent="0.3">
      <c r="B4" s="62"/>
      <c r="C4" s="87" t="s">
        <v>59</v>
      </c>
      <c r="D4" s="86"/>
      <c r="E4" s="85" t="s">
        <v>68</v>
      </c>
      <c r="F4" s="91"/>
      <c r="G4" s="90"/>
      <c r="H4" s="27"/>
      <c r="I4" s="89"/>
      <c r="V4" s="75">
        <v>1.645</v>
      </c>
      <c r="W4" s="160" t="b">
        <f>IF(W12=FALSE,FALSE,IF(IF($D$51&gt;$E$51,$D$51,$E$51)&gt;=ROUND(W3,0),FALSE,TRUE))</f>
        <v>0</v>
      </c>
      <c r="X4" s="161"/>
      <c r="Y4" s="160" t="b">
        <f>IF(Y12=FALSE,FALSE,IF(IF($D$51&gt;$E$51,$D$51,$E$51)&gt;=ROUND(Y3,0),TRUE,FALSE))</f>
        <v>0</v>
      </c>
      <c r="Z4" s="161"/>
      <c r="AB4" s="61"/>
      <c r="AC4" s="61"/>
    </row>
    <row r="5" spans="1:30" ht="19.5" customHeight="1" x14ac:dyDescent="0.3">
      <c r="B5" s="62"/>
      <c r="C5" s="87" t="s">
        <v>65</v>
      </c>
      <c r="D5" s="86"/>
      <c r="E5" s="85" t="s">
        <v>64</v>
      </c>
      <c r="F5" s="88"/>
      <c r="G5" s="68"/>
      <c r="H5" s="27"/>
      <c r="I5" s="109"/>
      <c r="V5" s="73" t="s">
        <v>58</v>
      </c>
      <c r="W5" s="160" t="b">
        <f>IF($W$12=TRUE,(V6*$V$11^0.5+$V$11+1)/2,FALSE)</f>
        <v>0</v>
      </c>
      <c r="X5" s="161"/>
      <c r="Y5" s="160" t="b">
        <f>IF($Y$12=TRUE,(V6*$V$11^0.5+$V$11+1)/2,FALSE)</f>
        <v>0</v>
      </c>
      <c r="Z5" s="161"/>
      <c r="AB5" s="109"/>
      <c r="AC5" s="109"/>
      <c r="AD5" s="107"/>
    </row>
    <row r="6" spans="1:30" ht="19.5" customHeight="1" x14ac:dyDescent="0.3">
      <c r="B6" s="62"/>
      <c r="C6" s="87" t="s">
        <v>63</v>
      </c>
      <c r="D6" s="86"/>
      <c r="E6" s="85" t="s">
        <v>62</v>
      </c>
      <c r="F6" s="84"/>
      <c r="G6" s="68"/>
      <c r="H6" s="27"/>
      <c r="I6" s="67"/>
      <c r="V6" s="75">
        <v>1.282</v>
      </c>
      <c r="W6" s="160" t="b">
        <f>IF(W12=FALSE,FALSE,IF(IF($D$51&gt;$E$51,$D$51,$E$51)&gt;=ROUND(W5,0),FALSE,TRUE))</f>
        <v>0</v>
      </c>
      <c r="X6" s="161"/>
      <c r="Y6" s="160" t="b">
        <f>IF(Y12=FALSE,FALSE,IF(IF($D$51&gt;$E$51,$D$51,$E$51)&gt;=ROUND(Y5,0),TRUE,FALSE))</f>
        <v>0</v>
      </c>
      <c r="Z6" s="161"/>
      <c r="AC6" s="67"/>
    </row>
    <row r="7" spans="1:30" ht="19.5" customHeight="1" thickBot="1" x14ac:dyDescent="0.35">
      <c r="B7" s="62"/>
      <c r="C7" s="83" t="s">
        <v>61</v>
      </c>
      <c r="D7" s="82"/>
      <c r="E7" s="81" t="s">
        <v>74</v>
      </c>
      <c r="F7" s="105"/>
      <c r="G7" s="68"/>
      <c r="H7" s="27"/>
      <c r="I7" s="67"/>
      <c r="V7" s="73" t="s">
        <v>55</v>
      </c>
      <c r="W7" s="160" t="b">
        <f>IF($W$12=TRUE,(V8*$V$11^0.5+$V$11+1)/2,FALSE)</f>
        <v>0</v>
      </c>
      <c r="X7" s="161"/>
      <c r="Y7" s="160" t="b">
        <f>IF($Y$12=TRUE,(V8*$V$11^0.5+$V$11+1)/2,FALSE)</f>
        <v>0</v>
      </c>
      <c r="Z7" s="161"/>
      <c r="AC7" s="67"/>
    </row>
    <row r="8" spans="1:30" ht="19.5" customHeight="1" thickBot="1" x14ac:dyDescent="0.35">
      <c r="B8" s="62"/>
      <c r="C8" s="62"/>
      <c r="D8" s="62"/>
      <c r="E8" s="62"/>
      <c r="F8" s="62"/>
      <c r="G8" s="68"/>
      <c r="H8" s="67"/>
      <c r="I8" s="67"/>
      <c r="V8" s="72">
        <v>0.84199999999999997</v>
      </c>
      <c r="W8" s="162" t="b">
        <f>IF(W12=FALSE,FALSE,IF(IF($D$51&gt;$E$51,$D$51,$E$51)&gt;=ROUND(W7,0),FALSE,TRUE))</f>
        <v>0</v>
      </c>
      <c r="X8" s="163"/>
      <c r="Y8" s="162" t="b">
        <f>IF(Y12=FALSE,FALSE,IF(IF($D$51&gt;$E$51,$D$51,$E$51)&gt;=ROUND(Y7,0),TRUE,FALSE))</f>
        <v>0</v>
      </c>
      <c r="Z8" s="163"/>
    </row>
    <row r="9" spans="1:30" ht="19.5" customHeight="1" thickBot="1" x14ac:dyDescent="0.25">
      <c r="B9" s="62"/>
      <c r="C9" s="79" t="s">
        <v>59</v>
      </c>
      <c r="D9" s="100"/>
      <c r="E9" s="78"/>
      <c r="F9" s="172" t="s">
        <v>73</v>
      </c>
      <c r="G9" s="145" t="s">
        <v>72</v>
      </c>
      <c r="H9" s="27"/>
      <c r="I9" s="67"/>
    </row>
    <row r="10" spans="1:30" ht="19.5" customHeight="1" thickBot="1" x14ac:dyDescent="0.25">
      <c r="B10" s="62"/>
      <c r="C10" s="77" t="s">
        <v>57</v>
      </c>
      <c r="D10" s="101"/>
      <c r="E10" s="76"/>
      <c r="F10" s="173"/>
      <c r="G10" s="146" t="s">
        <v>72</v>
      </c>
      <c r="H10" s="27"/>
      <c r="I10" s="27"/>
      <c r="V10" s="155" t="s">
        <v>69</v>
      </c>
      <c r="W10" s="156"/>
      <c r="X10" s="157"/>
      <c r="Y10" s="158" t="b">
        <f>IF(V11=0,FALSE,IF(SUM(D51:E51)=V11,TRUE,FALSE))</f>
        <v>0</v>
      </c>
      <c r="Z10" s="159"/>
    </row>
    <row r="11" spans="1:30" ht="19.5" customHeight="1" x14ac:dyDescent="0.2">
      <c r="B11" s="74">
        <v>1</v>
      </c>
      <c r="C11" s="120"/>
      <c r="D11" s="94"/>
      <c r="E11" s="95"/>
      <c r="F11" s="121"/>
      <c r="G11" s="110"/>
      <c r="H11" s="74" t="s">
        <v>71</v>
      </c>
      <c r="I11" s="27"/>
      <c r="V11" s="151">
        <f>COUNTA(C11:C50)</f>
        <v>0</v>
      </c>
      <c r="W11" s="147" t="s">
        <v>67</v>
      </c>
      <c r="X11" s="148"/>
      <c r="Y11" s="147" t="s">
        <v>66</v>
      </c>
      <c r="Z11" s="148"/>
    </row>
    <row r="12" spans="1:30" ht="19.5" customHeight="1" thickBot="1" x14ac:dyDescent="0.25">
      <c r="B12" s="69">
        <v>2</v>
      </c>
      <c r="C12" s="122"/>
      <c r="D12" s="96"/>
      <c r="E12" s="97"/>
      <c r="F12" s="123"/>
      <c r="G12" s="111"/>
      <c r="H12" s="113" t="e">
        <f>AVERAGE(G11:G50)</f>
        <v>#DIV/0!</v>
      </c>
      <c r="I12" s="27"/>
      <c r="V12" s="152"/>
      <c r="W12" s="149" t="b">
        <f>IF(AND(ISNUMBER(SEARCH("full sugar",D10)),E10="DM"),TRUE,FALSE)</f>
        <v>0</v>
      </c>
      <c r="X12" s="150"/>
      <c r="Y12" s="149" t="b">
        <f>IF(OR(AND(ISNUMBER(SEARCH("reduced",D10)),(ISNUMBER(SEARCH("DM",E10)))),(AND(ISNUMBER(SEARCH("full sugar",D10)),(ISNUMBER(SEARCH("reduced",E10))))),(AND(ISNUMBER(SEARCH("full sugar",D10)),(ISNUMBER(SEARCH("full DM",E10))))),(AND(ISNUMBER(SEARCH("DM",D10)),(ISNUMBER(SEARCH("DM",E10))))),(AND(ISNUMBER(SEARCH("full sugar",D10)),(ISNUMBER(SEARCH("full sugar",E10))))),(AND(ISNUMBER(SEARCH("reduced",D10)),(ISNUMBER(SEARCH("reduced",E10)))))),TRUE,FALSE)</f>
        <v>0</v>
      </c>
      <c r="Z12" s="150"/>
    </row>
    <row r="13" spans="1:30" ht="19.5" customHeight="1" x14ac:dyDescent="0.3">
      <c r="B13" s="69">
        <v>3</v>
      </c>
      <c r="C13" s="122"/>
      <c r="D13" s="96"/>
      <c r="E13" s="97"/>
      <c r="F13" s="123"/>
      <c r="G13" s="111"/>
      <c r="H13" s="69" t="s">
        <v>84</v>
      </c>
      <c r="I13" s="27"/>
      <c r="V13" s="80" t="s">
        <v>60</v>
      </c>
      <c r="W13" s="153" t="b">
        <f>IF($W$12=TRUE,(V14*$V$11^0.5+$V$11+1)/2,FALSE)</f>
        <v>0</v>
      </c>
      <c r="X13" s="154"/>
      <c r="Y13" s="153" t="b">
        <f>IF($Y$12=TRUE,(V14*$V$11^0.5+$V$11+1)/2,FALSE)</f>
        <v>0</v>
      </c>
      <c r="Z13" s="154"/>
    </row>
    <row r="14" spans="1:30" ht="19.350000000000001" customHeight="1" thickBot="1" x14ac:dyDescent="0.35">
      <c r="B14" s="69">
        <v>4</v>
      </c>
      <c r="C14" s="122"/>
      <c r="D14" s="96"/>
      <c r="E14" s="97"/>
      <c r="F14" s="123"/>
      <c r="G14" s="111"/>
      <c r="H14" s="114" t="e">
        <f>STDEV(G11:G50)</f>
        <v>#DIV/0!</v>
      </c>
      <c r="I14" s="108"/>
      <c r="V14" s="75">
        <v>1.96</v>
      </c>
      <c r="W14" s="160" t="b">
        <f>IF(W12=FALSE,FALSE,IF(IF($D$51&gt;$E$51,$D$51,$E$51)&gt;=ROUND(W13,0),FALSE,TRUE))</f>
        <v>0</v>
      </c>
      <c r="X14" s="161"/>
      <c r="Y14" s="160" t="b">
        <f>IF(Y12=FALSE,FALSE,IF(IF($D$51&gt;$E$51,$D$51,$E$51)&gt;=ROUND(Y13,0),TRUE,FALSE))</f>
        <v>0</v>
      </c>
      <c r="Z14" s="161"/>
    </row>
    <row r="15" spans="1:30" ht="19.5" customHeight="1" x14ac:dyDescent="0.3">
      <c r="B15" s="69">
        <v>5</v>
      </c>
      <c r="C15" s="122"/>
      <c r="D15" s="96"/>
      <c r="E15" s="97"/>
      <c r="F15" s="123"/>
      <c r="G15" s="111"/>
      <c r="H15" s="27"/>
      <c r="I15" s="108"/>
      <c r="K15" s="65"/>
      <c r="L15" s="65"/>
      <c r="M15" s="65"/>
      <c r="N15" s="65"/>
      <c r="V15" s="73" t="s">
        <v>58</v>
      </c>
      <c r="W15" s="160" t="b">
        <f>IF($W$12=TRUE,(V16*$V$11^0.5+$V$11+1)/2,FALSE)</f>
        <v>0</v>
      </c>
      <c r="X15" s="161"/>
      <c r="Y15" s="160" t="b">
        <f>IF($Y$12=TRUE,(V16*$V$11^0.5+$V$11+1)/2,FALSE)</f>
        <v>0</v>
      </c>
      <c r="Z15" s="161"/>
    </row>
    <row r="16" spans="1:30" ht="19.350000000000001" customHeight="1" x14ac:dyDescent="0.3">
      <c r="B16" s="69">
        <v>6</v>
      </c>
      <c r="C16" s="122"/>
      <c r="D16" s="96"/>
      <c r="E16" s="97"/>
      <c r="F16" s="123"/>
      <c r="G16" s="111"/>
      <c r="H16" s="27"/>
      <c r="I16" s="108"/>
      <c r="J16" s="67"/>
      <c r="K16" s="65"/>
      <c r="L16" s="65"/>
      <c r="M16" s="65"/>
      <c r="N16" s="65"/>
      <c r="V16" s="75">
        <v>1.645</v>
      </c>
      <c r="W16" s="160" t="b">
        <f>IF(W12=FALSE,FALSE,IF(IF($D$51&gt;$E$51,$D$51,$E$51)&gt;=ROUND(W15,0),FALSE,TRUE))</f>
        <v>0</v>
      </c>
      <c r="X16" s="161"/>
      <c r="Y16" s="160" t="b">
        <f>IF(Y12=FALSE,FALSE,IF(IF($D$51&gt;$E$51,$D$51,$E$51)&gt;=ROUND(Y15,0),TRUE,FALSE))</f>
        <v>0</v>
      </c>
      <c r="Z16" s="161"/>
    </row>
    <row r="17" spans="2:26" ht="19.5" customHeight="1" x14ac:dyDescent="0.3">
      <c r="B17" s="69">
        <v>7</v>
      </c>
      <c r="C17" s="122"/>
      <c r="D17" s="96"/>
      <c r="E17" s="97"/>
      <c r="F17" s="123"/>
      <c r="G17" s="111"/>
      <c r="H17" s="27"/>
      <c r="I17" s="108"/>
      <c r="K17" s="65"/>
      <c r="L17" s="65"/>
      <c r="M17" s="65"/>
      <c r="N17" s="65"/>
      <c r="V17" s="73" t="s">
        <v>55</v>
      </c>
      <c r="W17" s="160" t="b">
        <f>IF($W$12=TRUE,(V18*$V$11^0.5+$V$11+1)/2,FALSE)</f>
        <v>0</v>
      </c>
      <c r="X17" s="161"/>
      <c r="Y17" s="160" t="b">
        <f>IF($Y$12=TRUE,(V18*$V$11^0.5+$V$11+1)/2,FALSE)</f>
        <v>0</v>
      </c>
      <c r="Z17" s="161"/>
    </row>
    <row r="18" spans="2:26" ht="19.5" customHeight="1" thickBot="1" x14ac:dyDescent="0.35">
      <c r="B18" s="69">
        <v>8</v>
      </c>
      <c r="C18" s="122"/>
      <c r="D18" s="96"/>
      <c r="E18" s="97"/>
      <c r="F18" s="123"/>
      <c r="G18" s="111"/>
      <c r="H18" s="27"/>
      <c r="I18" s="108"/>
      <c r="J18" s="66"/>
      <c r="K18" s="65"/>
      <c r="L18" s="65"/>
      <c r="M18" s="65"/>
      <c r="N18" s="65"/>
      <c r="V18" s="72">
        <v>1.282</v>
      </c>
      <c r="W18" s="162" t="b">
        <f>IF(W12=FALSE,FALSE,IF(IF($D$51&gt;$E$51,$D$51,$E$51)&gt;=ROUND(W17,0),FALSE,TRUE))</f>
        <v>0</v>
      </c>
      <c r="X18" s="163"/>
      <c r="Y18" s="162" t="b">
        <f>IF(Y12=FALSE,FALSE,IF(IF($D$51&gt;$E$51,$D$51,$E$51)&gt;=ROUND(Y17,0),TRUE,FALSE))</f>
        <v>0</v>
      </c>
      <c r="Z18" s="163"/>
    </row>
    <row r="19" spans="2:26" ht="19.5" customHeight="1" x14ac:dyDescent="0.3">
      <c r="B19" s="69">
        <v>9</v>
      </c>
      <c r="C19" s="122"/>
      <c r="D19" s="96"/>
      <c r="E19" s="97"/>
      <c r="F19" s="123"/>
      <c r="G19" s="111"/>
      <c r="H19" s="27"/>
      <c r="I19" s="108"/>
      <c r="J19" s="66"/>
      <c r="K19" s="65"/>
      <c r="L19" s="65"/>
      <c r="M19" s="65"/>
      <c r="N19" s="65"/>
      <c r="V19" s="66" t="s">
        <v>54</v>
      </c>
      <c r="W19" s="65"/>
      <c r="X19" s="65"/>
      <c r="Y19" s="65"/>
      <c r="Z19" s="65"/>
    </row>
    <row r="20" spans="2:26" ht="19.5" customHeight="1" x14ac:dyDescent="0.3">
      <c r="B20" s="69">
        <v>10</v>
      </c>
      <c r="C20" s="122"/>
      <c r="D20" s="96"/>
      <c r="E20" s="97"/>
      <c r="F20" s="123"/>
      <c r="G20" s="111"/>
      <c r="H20" s="27"/>
      <c r="I20" s="108"/>
      <c r="J20" s="66"/>
      <c r="K20" s="65"/>
      <c r="L20" s="65"/>
      <c r="M20" s="65"/>
      <c r="N20" s="65"/>
      <c r="Y20" s="71" t="s">
        <v>53</v>
      </c>
      <c r="Z20" s="70">
        <f>Y17-E51</f>
        <v>0</v>
      </c>
    </row>
    <row r="21" spans="2:26" ht="19.5" customHeight="1" x14ac:dyDescent="0.3">
      <c r="B21" s="69">
        <v>11</v>
      </c>
      <c r="C21" s="122"/>
      <c r="D21" s="96"/>
      <c r="E21" s="97"/>
      <c r="F21" s="123"/>
      <c r="G21" s="111"/>
      <c r="H21" s="27"/>
      <c r="I21" s="108"/>
      <c r="J21" s="66"/>
      <c r="K21" s="65"/>
      <c r="L21" s="65"/>
      <c r="M21" s="65"/>
      <c r="N21" s="65"/>
    </row>
    <row r="22" spans="2:26" ht="19.5" customHeight="1" x14ac:dyDescent="0.3">
      <c r="B22" s="69">
        <v>12</v>
      </c>
      <c r="C22" s="122"/>
      <c r="D22" s="96"/>
      <c r="E22" s="97"/>
      <c r="F22" s="123"/>
      <c r="G22" s="111"/>
      <c r="H22" s="27"/>
      <c r="I22" s="108"/>
      <c r="J22" s="66"/>
      <c r="K22" s="65"/>
      <c r="L22" s="65"/>
      <c r="M22" s="65"/>
      <c r="N22" s="65"/>
    </row>
    <row r="23" spans="2:26" ht="19.5" customHeight="1" x14ac:dyDescent="0.3">
      <c r="B23" s="69">
        <v>13</v>
      </c>
      <c r="C23" s="122"/>
      <c r="D23" s="96"/>
      <c r="E23" s="97"/>
      <c r="F23" s="123"/>
      <c r="G23" s="111"/>
      <c r="H23" s="27"/>
      <c r="I23" s="108"/>
      <c r="J23" s="66"/>
      <c r="K23" s="65"/>
      <c r="L23" s="65"/>
      <c r="M23" s="65"/>
      <c r="N23" s="65"/>
    </row>
    <row r="24" spans="2:26" ht="19.5" customHeight="1" x14ac:dyDescent="0.3">
      <c r="B24" s="69">
        <v>14</v>
      </c>
      <c r="C24" s="122"/>
      <c r="D24" s="96"/>
      <c r="E24" s="97"/>
      <c r="F24" s="123"/>
      <c r="G24" s="111"/>
      <c r="H24" s="27"/>
      <c r="I24" s="108"/>
      <c r="J24" s="66"/>
      <c r="K24" s="65"/>
      <c r="L24" s="65"/>
      <c r="M24" s="65"/>
      <c r="N24" s="65"/>
    </row>
    <row r="25" spans="2:26" ht="19.5" customHeight="1" x14ac:dyDescent="0.3">
      <c r="B25" s="69">
        <v>15</v>
      </c>
      <c r="C25" s="122"/>
      <c r="D25" s="96"/>
      <c r="E25" s="97"/>
      <c r="F25" s="123"/>
      <c r="G25" s="111"/>
      <c r="H25" s="27"/>
      <c r="I25" s="108"/>
      <c r="J25" s="66"/>
      <c r="K25" s="65"/>
      <c r="L25" s="65"/>
      <c r="M25" s="65"/>
      <c r="N25" s="65"/>
    </row>
    <row r="26" spans="2:26" ht="19.5" customHeight="1" x14ac:dyDescent="0.3">
      <c r="B26" s="69">
        <v>16</v>
      </c>
      <c r="C26" s="122"/>
      <c r="D26" s="96"/>
      <c r="E26" s="97"/>
      <c r="F26" s="123"/>
      <c r="G26" s="111"/>
      <c r="H26" s="27"/>
      <c r="I26" s="108"/>
      <c r="J26" s="66"/>
      <c r="K26" s="65"/>
      <c r="L26" s="65"/>
      <c r="M26" s="65"/>
      <c r="N26" s="65"/>
    </row>
    <row r="27" spans="2:26" ht="19.5" customHeight="1" x14ac:dyDescent="0.3">
      <c r="B27" s="69">
        <v>17</v>
      </c>
      <c r="C27" s="122"/>
      <c r="D27" s="96"/>
      <c r="E27" s="97"/>
      <c r="F27" s="123"/>
      <c r="G27" s="111"/>
      <c r="H27" s="27"/>
      <c r="I27" s="108"/>
      <c r="J27" s="66"/>
      <c r="K27" s="65"/>
      <c r="L27" s="65"/>
      <c r="M27" s="65"/>
      <c r="N27" s="65"/>
    </row>
    <row r="28" spans="2:26" ht="19.5" customHeight="1" x14ac:dyDescent="0.3">
      <c r="B28" s="69">
        <v>18</v>
      </c>
      <c r="C28" s="122"/>
      <c r="D28" s="96"/>
      <c r="E28" s="97"/>
      <c r="F28" s="123"/>
      <c r="G28" s="111"/>
      <c r="H28" s="27"/>
      <c r="I28" s="108"/>
      <c r="J28" s="66"/>
      <c r="K28" s="65"/>
      <c r="L28" s="65"/>
      <c r="M28" s="65"/>
      <c r="N28" s="65"/>
    </row>
    <row r="29" spans="2:26" ht="19.5" customHeight="1" x14ac:dyDescent="0.3">
      <c r="B29" s="69">
        <v>19</v>
      </c>
      <c r="C29" s="122"/>
      <c r="D29" s="96"/>
      <c r="E29" s="97"/>
      <c r="F29" s="123"/>
      <c r="G29" s="111"/>
      <c r="H29" s="27"/>
      <c r="I29" s="108"/>
      <c r="J29" s="66"/>
      <c r="K29" s="65"/>
      <c r="L29" s="65"/>
      <c r="M29" s="65"/>
      <c r="N29" s="65"/>
    </row>
    <row r="30" spans="2:26" ht="19.5" customHeight="1" x14ac:dyDescent="0.3">
      <c r="B30" s="69">
        <v>20</v>
      </c>
      <c r="C30" s="122"/>
      <c r="D30" s="96"/>
      <c r="E30" s="97"/>
      <c r="F30" s="123"/>
      <c r="G30" s="111"/>
      <c r="H30" s="27"/>
      <c r="I30" s="108"/>
      <c r="J30" s="66"/>
      <c r="K30" s="65"/>
      <c r="L30" s="65"/>
      <c r="M30" s="65"/>
      <c r="N30" s="65"/>
    </row>
    <row r="31" spans="2:26" ht="19.5" customHeight="1" x14ac:dyDescent="0.3">
      <c r="B31" s="69">
        <v>21</v>
      </c>
      <c r="C31" s="122"/>
      <c r="D31" s="96"/>
      <c r="E31" s="97"/>
      <c r="F31" s="123"/>
      <c r="G31" s="111"/>
      <c r="H31" s="27"/>
      <c r="I31" s="108"/>
      <c r="J31" s="66"/>
      <c r="K31" s="65"/>
      <c r="L31" s="65"/>
      <c r="M31" s="65"/>
      <c r="N31" s="65"/>
    </row>
    <row r="32" spans="2:26" ht="19.5" customHeight="1" x14ac:dyDescent="0.3">
      <c r="B32" s="69">
        <v>22</v>
      </c>
      <c r="C32" s="122"/>
      <c r="D32" s="96"/>
      <c r="E32" s="97"/>
      <c r="F32" s="123"/>
      <c r="G32" s="111"/>
      <c r="H32" s="27"/>
      <c r="I32" s="108"/>
      <c r="J32" s="66"/>
      <c r="K32" s="65"/>
      <c r="L32" s="65"/>
      <c r="M32" s="65"/>
      <c r="N32" s="65"/>
    </row>
    <row r="33" spans="2:14" ht="19.5" customHeight="1" x14ac:dyDescent="0.3">
      <c r="B33" s="69">
        <v>23</v>
      </c>
      <c r="C33" s="122"/>
      <c r="D33" s="96"/>
      <c r="E33" s="97"/>
      <c r="F33" s="123"/>
      <c r="G33" s="111"/>
      <c r="H33" s="27"/>
      <c r="I33" s="108"/>
      <c r="J33" s="66"/>
      <c r="K33" s="65"/>
      <c r="L33" s="65"/>
      <c r="M33" s="65"/>
      <c r="N33" s="65"/>
    </row>
    <row r="34" spans="2:14" ht="19.5" customHeight="1" x14ac:dyDescent="0.3">
      <c r="B34" s="69">
        <v>24</v>
      </c>
      <c r="C34" s="122"/>
      <c r="D34" s="96"/>
      <c r="E34" s="97"/>
      <c r="F34" s="123"/>
      <c r="G34" s="111"/>
      <c r="H34" s="27"/>
      <c r="I34" s="108"/>
      <c r="J34" s="66"/>
      <c r="K34" s="65"/>
      <c r="L34" s="65"/>
      <c r="M34" s="65"/>
      <c r="N34" s="65"/>
    </row>
    <row r="35" spans="2:14" ht="19.5" customHeight="1" x14ac:dyDescent="0.3">
      <c r="B35" s="69">
        <v>25</v>
      </c>
      <c r="C35" s="122"/>
      <c r="D35" s="96"/>
      <c r="E35" s="97"/>
      <c r="F35" s="123"/>
      <c r="G35" s="111"/>
      <c r="H35" s="27"/>
      <c r="I35" s="108"/>
      <c r="J35" s="66"/>
      <c r="K35" s="65"/>
      <c r="L35" s="65"/>
      <c r="M35" s="65"/>
      <c r="N35" s="65"/>
    </row>
    <row r="36" spans="2:14" ht="19.5" customHeight="1" x14ac:dyDescent="0.3">
      <c r="B36" s="69">
        <v>26</v>
      </c>
      <c r="C36" s="122"/>
      <c r="D36" s="96"/>
      <c r="E36" s="97"/>
      <c r="F36" s="123"/>
      <c r="G36" s="111"/>
      <c r="H36" s="27"/>
      <c r="I36" s="108"/>
      <c r="J36" s="66"/>
      <c r="K36" s="65"/>
      <c r="L36" s="65"/>
      <c r="M36" s="65"/>
      <c r="N36" s="65"/>
    </row>
    <row r="37" spans="2:14" ht="19.5" customHeight="1" x14ac:dyDescent="0.3">
      <c r="B37" s="69">
        <v>27</v>
      </c>
      <c r="C37" s="122"/>
      <c r="D37" s="96"/>
      <c r="E37" s="97"/>
      <c r="F37" s="123"/>
      <c r="G37" s="111"/>
      <c r="H37" s="27"/>
      <c r="I37" s="108"/>
      <c r="J37" s="66"/>
      <c r="K37" s="65"/>
      <c r="L37" s="65"/>
      <c r="M37" s="65"/>
      <c r="N37" s="65"/>
    </row>
    <row r="38" spans="2:14" ht="19.5" customHeight="1" x14ac:dyDescent="0.3">
      <c r="B38" s="69">
        <v>28</v>
      </c>
      <c r="C38" s="122"/>
      <c r="D38" s="96"/>
      <c r="E38" s="97"/>
      <c r="F38" s="123"/>
      <c r="G38" s="111"/>
      <c r="H38" s="27"/>
      <c r="I38" s="108"/>
      <c r="J38" s="66"/>
      <c r="K38" s="65"/>
      <c r="L38" s="65"/>
      <c r="M38" s="65"/>
      <c r="N38" s="65"/>
    </row>
    <row r="39" spans="2:14" ht="19.5" customHeight="1" x14ac:dyDescent="0.3">
      <c r="B39" s="69">
        <v>29</v>
      </c>
      <c r="C39" s="122"/>
      <c r="D39" s="96"/>
      <c r="E39" s="97"/>
      <c r="F39" s="123"/>
      <c r="G39" s="111"/>
      <c r="H39" s="27"/>
      <c r="I39" s="108"/>
      <c r="J39" s="66"/>
      <c r="K39" s="65"/>
      <c r="L39" s="65"/>
      <c r="M39" s="65"/>
      <c r="N39" s="65"/>
    </row>
    <row r="40" spans="2:14" ht="19.5" customHeight="1" x14ac:dyDescent="0.3">
      <c r="B40" s="69">
        <v>30</v>
      </c>
      <c r="C40" s="122"/>
      <c r="D40" s="96"/>
      <c r="E40" s="97"/>
      <c r="F40" s="123"/>
      <c r="G40" s="111"/>
      <c r="H40" s="27"/>
      <c r="I40" s="108"/>
      <c r="J40" s="66"/>
      <c r="K40" s="65"/>
      <c r="L40" s="65"/>
      <c r="M40" s="65"/>
      <c r="N40" s="65"/>
    </row>
    <row r="41" spans="2:14" ht="19.5" customHeight="1" x14ac:dyDescent="0.3">
      <c r="B41" s="69">
        <v>31</v>
      </c>
      <c r="C41" s="122"/>
      <c r="D41" s="96"/>
      <c r="E41" s="97"/>
      <c r="F41" s="123"/>
      <c r="G41" s="111"/>
      <c r="H41" s="27"/>
      <c r="I41" s="108"/>
      <c r="J41" s="66"/>
      <c r="K41" s="65"/>
      <c r="L41" s="65"/>
      <c r="M41" s="65"/>
      <c r="N41" s="65"/>
    </row>
    <row r="42" spans="2:14" ht="19.5" customHeight="1" x14ac:dyDescent="0.3">
      <c r="B42" s="69">
        <v>32</v>
      </c>
      <c r="C42" s="122"/>
      <c r="D42" s="96"/>
      <c r="E42" s="97"/>
      <c r="F42" s="123"/>
      <c r="G42" s="111"/>
      <c r="H42" s="27"/>
      <c r="I42" s="108"/>
      <c r="J42" s="66"/>
      <c r="K42" s="65"/>
      <c r="L42" s="65"/>
      <c r="M42" s="65"/>
      <c r="N42" s="65"/>
    </row>
    <row r="43" spans="2:14" ht="19.5" customHeight="1" x14ac:dyDescent="0.3">
      <c r="B43" s="69">
        <v>33</v>
      </c>
      <c r="C43" s="122"/>
      <c r="D43" s="96"/>
      <c r="E43" s="97"/>
      <c r="F43" s="123"/>
      <c r="G43" s="111"/>
      <c r="H43" s="27"/>
      <c r="I43" s="108"/>
      <c r="J43" s="66"/>
      <c r="K43" s="65"/>
      <c r="L43" s="65"/>
      <c r="M43" s="65"/>
      <c r="N43" s="65"/>
    </row>
    <row r="44" spans="2:14" ht="19.5" customHeight="1" x14ac:dyDescent="0.3">
      <c r="B44" s="69">
        <v>34</v>
      </c>
      <c r="C44" s="122"/>
      <c r="D44" s="96"/>
      <c r="E44" s="97"/>
      <c r="F44" s="123"/>
      <c r="G44" s="111"/>
      <c r="H44" s="27"/>
      <c r="I44" s="108"/>
      <c r="J44" s="66"/>
      <c r="K44" s="65"/>
      <c r="L44" s="65"/>
      <c r="M44" s="65"/>
      <c r="N44" s="65"/>
    </row>
    <row r="45" spans="2:14" ht="19.5" customHeight="1" x14ac:dyDescent="0.3">
      <c r="B45" s="69">
        <v>35</v>
      </c>
      <c r="C45" s="122"/>
      <c r="D45" s="96"/>
      <c r="E45" s="97"/>
      <c r="F45" s="123"/>
      <c r="G45" s="111"/>
      <c r="H45" s="27"/>
      <c r="I45" s="108"/>
      <c r="J45" s="66"/>
      <c r="K45" s="65"/>
      <c r="L45" s="65"/>
      <c r="M45" s="65"/>
      <c r="N45" s="65"/>
    </row>
    <row r="46" spans="2:14" ht="19.5" customHeight="1" x14ac:dyDescent="0.3">
      <c r="B46" s="69">
        <v>36</v>
      </c>
      <c r="C46" s="122"/>
      <c r="D46" s="96"/>
      <c r="E46" s="97"/>
      <c r="F46" s="123"/>
      <c r="G46" s="111"/>
      <c r="H46" s="27"/>
      <c r="I46" s="108"/>
      <c r="J46" s="66"/>
      <c r="K46" s="65"/>
      <c r="L46" s="65"/>
      <c r="M46" s="65"/>
      <c r="N46" s="65"/>
    </row>
    <row r="47" spans="2:14" ht="19.5" customHeight="1" x14ac:dyDescent="0.3">
      <c r="B47" s="69">
        <v>37</v>
      </c>
      <c r="C47" s="122"/>
      <c r="D47" s="96"/>
      <c r="E47" s="97"/>
      <c r="F47" s="123"/>
      <c r="G47" s="111"/>
      <c r="H47" s="27"/>
      <c r="I47" s="108"/>
      <c r="J47" s="66"/>
      <c r="K47" s="65"/>
      <c r="L47" s="65"/>
      <c r="M47" s="65"/>
      <c r="N47" s="65"/>
    </row>
    <row r="48" spans="2:14" ht="19.5" customHeight="1" x14ac:dyDescent="0.3">
      <c r="B48" s="69">
        <v>38</v>
      </c>
      <c r="C48" s="122"/>
      <c r="D48" s="96"/>
      <c r="E48" s="97"/>
      <c r="F48" s="123"/>
      <c r="G48" s="111"/>
      <c r="H48" s="27"/>
      <c r="I48" s="108"/>
      <c r="J48" s="66"/>
      <c r="K48" s="65"/>
      <c r="L48" s="65"/>
      <c r="M48" s="65"/>
      <c r="N48" s="65"/>
    </row>
    <row r="49" spans="2:33" ht="19.5" customHeight="1" x14ac:dyDescent="0.3">
      <c r="B49" s="69">
        <v>39</v>
      </c>
      <c r="C49" s="122"/>
      <c r="D49" s="96"/>
      <c r="E49" s="97"/>
      <c r="F49" s="123"/>
      <c r="G49" s="111"/>
      <c r="H49" s="27"/>
      <c r="I49" s="108"/>
      <c r="J49" s="66"/>
      <c r="K49" s="65"/>
      <c r="L49" s="65"/>
      <c r="M49" s="65"/>
      <c r="N49" s="65"/>
    </row>
    <row r="50" spans="2:33" ht="19.5" customHeight="1" thickBot="1" x14ac:dyDescent="0.35">
      <c r="B50" s="69">
        <v>40</v>
      </c>
      <c r="C50" s="122"/>
      <c r="D50" s="98"/>
      <c r="E50" s="99"/>
      <c r="F50" s="124"/>
      <c r="G50" s="112"/>
      <c r="H50" s="27"/>
      <c r="I50" s="108"/>
      <c r="J50" s="66"/>
      <c r="K50" s="65"/>
      <c r="L50" s="65"/>
      <c r="M50" s="65"/>
      <c r="N50" s="65"/>
    </row>
    <row r="51" spans="2:33" s="27" customFormat="1" ht="19.5" customHeight="1" thickBot="1" x14ac:dyDescent="0.25">
      <c r="B51" s="62"/>
      <c r="C51" s="64" t="s">
        <v>52</v>
      </c>
      <c r="D51" s="102">
        <f>COUNTIF(D11:E50,D9)</f>
        <v>0</v>
      </c>
      <c r="E51" s="102">
        <f>COUNTIF(D11:E50,E9)</f>
        <v>0</v>
      </c>
      <c r="F51" s="166" t="str">
        <f>IF(Y12=TRUE,"Significant difference at 80% confidence:","Significant similarity at 80% confidence:")</f>
        <v>Significant similarity at 80% confidence:</v>
      </c>
      <c r="G51" s="171" t="b">
        <f>OR(W18,Y18)</f>
        <v>0</v>
      </c>
      <c r="H51" s="59"/>
      <c r="I51" s="59"/>
    </row>
    <row r="52" spans="2:33" s="27" customFormat="1" ht="19.5" customHeight="1" thickBot="1" x14ac:dyDescent="0.25">
      <c r="B52" s="62"/>
      <c r="C52" s="64" t="s">
        <v>51</v>
      </c>
      <c r="D52" s="63" t="e">
        <f>D51*100/V11</f>
        <v>#DIV/0!</v>
      </c>
      <c r="E52" s="63" t="e">
        <f>E51*100/V11</f>
        <v>#DIV/0!</v>
      </c>
      <c r="F52" s="167"/>
      <c r="G52" s="170"/>
      <c r="H52" s="59"/>
      <c r="I52" s="59"/>
    </row>
    <row r="53" spans="2:33" s="27" customFormat="1" ht="19.5" customHeight="1" x14ac:dyDescent="0.2">
      <c r="B53" s="62"/>
      <c r="C53" s="61"/>
      <c r="D53" s="60"/>
      <c r="E53" s="60"/>
      <c r="F53" s="168"/>
      <c r="G53" s="169"/>
      <c r="H53" s="59"/>
      <c r="I53" s="59"/>
    </row>
    <row r="54" spans="2:33" s="27" customFormat="1" ht="19.5" customHeight="1" thickBot="1" x14ac:dyDescent="0.25">
      <c r="B54" s="62"/>
      <c r="C54" s="61"/>
      <c r="D54" s="60"/>
      <c r="E54" s="60"/>
      <c r="F54" s="167"/>
      <c r="G54" s="170"/>
      <c r="H54" s="59"/>
      <c r="I54" s="59"/>
    </row>
    <row r="55" spans="2:33" s="27" customFormat="1" ht="21" customHeight="1" x14ac:dyDescent="0.3">
      <c r="C55" s="58"/>
      <c r="D55" s="57"/>
      <c r="E55" s="57"/>
      <c r="H55" s="58"/>
      <c r="I55" s="106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</row>
    <row r="56" spans="2:33" s="27" customFormat="1" ht="14.85" customHeight="1" x14ac:dyDescent="0.2">
      <c r="D56" s="57"/>
      <c r="E56" s="57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</row>
    <row r="57" spans="2:33" s="27" customFormat="1" ht="14.85" customHeight="1" x14ac:dyDescent="0.2">
      <c r="D57" s="57"/>
      <c r="E57" s="57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</row>
    <row r="58" spans="2:33" s="27" customFormat="1" ht="29.85" customHeight="1" thickBot="1" x14ac:dyDescent="0.25"/>
    <row r="59" spans="2:33" s="27" customFormat="1" ht="27.75" x14ac:dyDescent="0.4">
      <c r="C59" s="183" t="s">
        <v>50</v>
      </c>
      <c r="D59" s="184"/>
      <c r="E59" s="184"/>
      <c r="F59" s="184"/>
      <c r="G59" s="184"/>
      <c r="H59" s="184"/>
      <c r="I59" s="184"/>
      <c r="J59" s="184"/>
      <c r="K59" s="184"/>
      <c r="L59" s="184"/>
      <c r="M59" s="184"/>
      <c r="N59" s="184"/>
      <c r="O59" s="184"/>
      <c r="P59" s="184"/>
      <c r="Q59" s="184"/>
      <c r="R59" s="185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</row>
    <row r="60" spans="2:33" s="27" customFormat="1" ht="26.25" customHeight="1" x14ac:dyDescent="0.4">
      <c r="C60" s="186" t="s">
        <v>75</v>
      </c>
      <c r="D60" s="182" t="s">
        <v>76</v>
      </c>
      <c r="E60" s="182" t="s">
        <v>77</v>
      </c>
      <c r="F60" s="182" t="s">
        <v>78</v>
      </c>
      <c r="G60" s="180" t="s">
        <v>47</v>
      </c>
      <c r="H60" s="180" t="s">
        <v>46</v>
      </c>
      <c r="I60" s="180" t="s">
        <v>79</v>
      </c>
      <c r="J60" s="182" t="s">
        <v>80</v>
      </c>
      <c r="K60" s="182"/>
      <c r="L60" s="182"/>
      <c r="M60" s="177" t="s">
        <v>81</v>
      </c>
      <c r="N60" s="178"/>
      <c r="O60" s="179"/>
      <c r="P60" s="177" t="s">
        <v>82</v>
      </c>
      <c r="Q60" s="178"/>
      <c r="R60" s="179"/>
      <c r="T60" s="54"/>
      <c r="V60" s="53"/>
      <c r="AB60" s="55"/>
      <c r="AC60" s="55"/>
      <c r="AD60" s="55"/>
      <c r="AF60" s="55"/>
      <c r="AG60" s="55"/>
    </row>
    <row r="61" spans="2:33" s="27" customFormat="1" ht="23.25" x14ac:dyDescent="0.2">
      <c r="C61" s="187"/>
      <c r="D61" s="180"/>
      <c r="E61" s="180"/>
      <c r="F61" s="180"/>
      <c r="G61" s="181"/>
      <c r="H61" s="181"/>
      <c r="I61" s="181"/>
      <c r="J61" s="104">
        <v>1</v>
      </c>
      <c r="K61" s="104">
        <v>2</v>
      </c>
      <c r="L61" s="104" t="s">
        <v>83</v>
      </c>
      <c r="M61" s="104">
        <v>1</v>
      </c>
      <c r="N61" s="104">
        <v>2</v>
      </c>
      <c r="O61" s="104">
        <v>3</v>
      </c>
      <c r="P61" s="104">
        <v>1</v>
      </c>
      <c r="Q61" s="104">
        <v>2</v>
      </c>
      <c r="R61" s="104">
        <v>3</v>
      </c>
      <c r="S61" s="54"/>
      <c r="T61" s="54"/>
      <c r="U61" s="53"/>
      <c r="V61" s="53"/>
      <c r="W61" s="53"/>
      <c r="X61" s="53"/>
      <c r="Z61" s="52"/>
      <c r="AA61" s="52"/>
      <c r="AB61" s="52"/>
      <c r="AC61" s="52"/>
      <c r="AD61" s="52"/>
      <c r="AE61" s="52"/>
      <c r="AF61" s="52"/>
      <c r="AG61" s="52"/>
    </row>
    <row r="62" spans="2:33" s="27" customFormat="1" ht="26.1" customHeight="1" x14ac:dyDescent="0.2">
      <c r="C62" s="50"/>
      <c r="D62" s="51"/>
      <c r="E62" s="48"/>
      <c r="F62" s="48"/>
      <c r="G62" s="49"/>
      <c r="H62" s="48"/>
      <c r="I62" s="48"/>
      <c r="J62" s="47"/>
      <c r="K62" s="47"/>
      <c r="L62" s="47"/>
      <c r="M62" s="46"/>
      <c r="N62" s="46"/>
      <c r="O62" s="46"/>
      <c r="P62" s="46"/>
      <c r="Q62" s="46"/>
      <c r="R62" s="45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7"/>
    </row>
    <row r="63" spans="2:33" s="27" customFormat="1" ht="26.1" customHeight="1" x14ac:dyDescent="0.2">
      <c r="C63" s="50"/>
      <c r="D63" s="51"/>
      <c r="E63" s="48"/>
      <c r="F63" s="48"/>
      <c r="G63" s="49"/>
      <c r="H63" s="48"/>
      <c r="I63" s="48"/>
      <c r="J63" s="47"/>
      <c r="K63" s="47"/>
      <c r="L63" s="47"/>
      <c r="M63" s="46"/>
      <c r="N63" s="46"/>
      <c r="O63" s="46"/>
      <c r="P63" s="46"/>
      <c r="Q63" s="46"/>
      <c r="R63" s="45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7"/>
    </row>
    <row r="64" spans="2:33" s="27" customFormat="1" ht="26.1" customHeight="1" x14ac:dyDescent="0.2">
      <c r="C64" s="50"/>
      <c r="D64" s="51"/>
      <c r="E64" s="48"/>
      <c r="F64" s="48"/>
      <c r="G64" s="49"/>
      <c r="H64" s="48"/>
      <c r="I64" s="48"/>
      <c r="J64" s="47"/>
      <c r="K64" s="47"/>
      <c r="L64" s="47"/>
      <c r="M64" s="46"/>
      <c r="N64" s="46"/>
      <c r="O64" s="46"/>
      <c r="P64" s="46"/>
      <c r="Q64" s="46"/>
      <c r="R64" s="45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7"/>
    </row>
    <row r="65" spans="3:33" s="27" customFormat="1" ht="26.1" customHeight="1" x14ac:dyDescent="0.2">
      <c r="C65" s="50"/>
      <c r="D65" s="48"/>
      <c r="E65" s="48"/>
      <c r="F65" s="48"/>
      <c r="G65" s="49"/>
      <c r="H65" s="48"/>
      <c r="I65" s="48"/>
      <c r="J65" s="47"/>
      <c r="K65" s="47"/>
      <c r="L65" s="47"/>
      <c r="M65" s="46"/>
      <c r="N65" s="46"/>
      <c r="O65" s="46"/>
      <c r="P65" s="46"/>
      <c r="Q65" s="46"/>
      <c r="R65" s="45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7"/>
    </row>
    <row r="66" spans="3:33" s="27" customFormat="1" ht="26.1" customHeight="1" x14ac:dyDescent="0.2">
      <c r="C66" s="50"/>
      <c r="D66" s="48"/>
      <c r="E66" s="48"/>
      <c r="F66" s="48"/>
      <c r="G66" s="49"/>
      <c r="H66" s="48"/>
      <c r="I66" s="48"/>
      <c r="J66" s="47"/>
      <c r="K66" s="47"/>
      <c r="L66" s="47"/>
      <c r="M66" s="46"/>
      <c r="N66" s="46"/>
      <c r="O66" s="46"/>
      <c r="P66" s="46"/>
      <c r="Q66" s="46"/>
      <c r="R66" s="45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7"/>
    </row>
    <row r="67" spans="3:33" s="27" customFormat="1" ht="26.1" customHeight="1" thickBot="1" x14ac:dyDescent="0.25">
      <c r="C67" s="44"/>
      <c r="D67" s="42"/>
      <c r="E67" s="42"/>
      <c r="F67" s="42"/>
      <c r="G67" s="43"/>
      <c r="H67" s="42"/>
      <c r="I67" s="42"/>
      <c r="J67" s="41"/>
      <c r="K67" s="41"/>
      <c r="L67" s="41"/>
      <c r="M67" s="40"/>
      <c r="N67" s="40"/>
      <c r="O67" s="40"/>
      <c r="P67" s="40"/>
      <c r="Q67" s="40"/>
      <c r="R67" s="39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7"/>
    </row>
    <row r="68" spans="3:33" s="27" customFormat="1" x14ac:dyDescent="0.2"/>
    <row r="69" spans="3:33" s="27" customFormat="1" x14ac:dyDescent="0.2"/>
    <row r="70" spans="3:33" s="27" customFormat="1" x14ac:dyDescent="0.2"/>
    <row r="71" spans="3:33" s="27" customFormat="1" x14ac:dyDescent="0.2"/>
    <row r="72" spans="3:33" s="27" customFormat="1" x14ac:dyDescent="0.2"/>
    <row r="73" spans="3:33" s="27" customFormat="1" x14ac:dyDescent="0.2"/>
    <row r="74" spans="3:33" s="27" customFormat="1" x14ac:dyDescent="0.2"/>
    <row r="75" spans="3:33" s="27" customFormat="1" x14ac:dyDescent="0.2"/>
    <row r="76" spans="3:33" s="27" customFormat="1" x14ac:dyDescent="0.2"/>
    <row r="77" spans="3:33" s="27" customFormat="1" x14ac:dyDescent="0.2"/>
    <row r="78" spans="3:33" s="27" customFormat="1" x14ac:dyDescent="0.2"/>
    <row r="79" spans="3:33" s="27" customFormat="1" x14ac:dyDescent="0.2"/>
    <row r="80" spans="3:33" s="27" customFormat="1" x14ac:dyDescent="0.2"/>
    <row r="81" spans="3:9" s="27" customFormat="1" x14ac:dyDescent="0.2"/>
    <row r="82" spans="3:9" s="27" customFormat="1" x14ac:dyDescent="0.2"/>
    <row r="83" spans="3:9" s="27" customFormat="1" x14ac:dyDescent="0.2"/>
    <row r="84" spans="3:9" s="27" customFormat="1" x14ac:dyDescent="0.2"/>
    <row r="85" spans="3:9" s="27" customFormat="1" x14ac:dyDescent="0.2"/>
    <row r="86" spans="3:9" x14ac:dyDescent="0.2">
      <c r="C86" s="27"/>
      <c r="D86" s="27"/>
      <c r="E86" s="27"/>
      <c r="F86" s="27"/>
      <c r="G86" s="27"/>
      <c r="H86" s="27"/>
      <c r="I86" s="27"/>
    </row>
    <row r="87" spans="3:9" x14ac:dyDescent="0.2">
      <c r="C87" s="27"/>
      <c r="D87" s="27"/>
      <c r="E87" s="27"/>
      <c r="F87" s="27"/>
      <c r="G87" s="27"/>
      <c r="H87" s="27"/>
      <c r="I87" s="27"/>
    </row>
    <row r="88" spans="3:9" x14ac:dyDescent="0.2">
      <c r="C88" s="27"/>
      <c r="D88" s="27"/>
      <c r="E88" s="27"/>
      <c r="F88" s="27"/>
      <c r="G88" s="27"/>
      <c r="H88" s="27"/>
      <c r="I88" s="27"/>
    </row>
    <row r="89" spans="3:9" x14ac:dyDescent="0.2">
      <c r="C89" s="27"/>
      <c r="D89" s="27"/>
      <c r="E89" s="27"/>
      <c r="F89" s="27"/>
      <c r="G89" s="27"/>
      <c r="H89" s="27"/>
      <c r="I89" s="27"/>
    </row>
    <row r="90" spans="3:9" x14ac:dyDescent="0.2">
      <c r="C90" s="27"/>
      <c r="D90" s="27"/>
      <c r="E90" s="27"/>
      <c r="F90" s="27"/>
      <c r="G90" s="27"/>
      <c r="H90" s="27"/>
      <c r="I90" s="27"/>
    </row>
    <row r="91" spans="3:9" x14ac:dyDescent="0.2">
      <c r="C91" s="27"/>
      <c r="D91" s="27"/>
      <c r="E91" s="27"/>
      <c r="F91" s="27"/>
      <c r="G91" s="27"/>
      <c r="H91" s="27"/>
      <c r="I91" s="27"/>
    </row>
    <row r="92" spans="3:9" x14ac:dyDescent="0.2">
      <c r="C92" s="27"/>
      <c r="D92" s="27"/>
      <c r="E92" s="27"/>
      <c r="F92" s="27"/>
      <c r="G92" s="27"/>
      <c r="H92" s="27"/>
      <c r="I92" s="27"/>
    </row>
    <row r="93" spans="3:9" x14ac:dyDescent="0.2">
      <c r="C93" s="27"/>
      <c r="D93" s="27"/>
      <c r="E93" s="27"/>
      <c r="F93" s="27"/>
      <c r="G93" s="27"/>
      <c r="H93" s="27"/>
      <c r="I93" s="27"/>
    </row>
    <row r="94" spans="3:9" x14ac:dyDescent="0.2">
      <c r="C94" s="27"/>
      <c r="D94" s="27"/>
      <c r="E94" s="27"/>
      <c r="F94" s="27"/>
      <c r="G94" s="27"/>
      <c r="H94" s="27"/>
      <c r="I94" s="27"/>
    </row>
    <row r="95" spans="3:9" x14ac:dyDescent="0.2">
      <c r="C95" s="27"/>
      <c r="D95" s="27"/>
      <c r="E95" s="27"/>
      <c r="F95" s="27"/>
      <c r="G95" s="27"/>
      <c r="H95" s="27"/>
      <c r="I95" s="27"/>
    </row>
    <row r="96" spans="3:9" x14ac:dyDescent="0.2">
      <c r="C96" s="27"/>
      <c r="D96" s="27"/>
      <c r="E96" s="27"/>
      <c r="F96" s="27"/>
      <c r="G96" s="27"/>
      <c r="H96" s="27"/>
      <c r="I96" s="27"/>
    </row>
    <row r="97" spans="3:18" ht="15" thickBot="1" x14ac:dyDescent="0.25">
      <c r="C97" s="27"/>
      <c r="D97" s="27"/>
      <c r="E97" s="27"/>
      <c r="F97" s="27"/>
      <c r="G97" s="27"/>
      <c r="H97" s="27"/>
      <c r="I97" s="27"/>
    </row>
    <row r="98" spans="3:18" ht="15" x14ac:dyDescent="0.25">
      <c r="C98" s="27"/>
      <c r="D98" s="27"/>
      <c r="E98" s="36" t="s">
        <v>49</v>
      </c>
      <c r="F98" s="34"/>
      <c r="G98" s="36" t="s">
        <v>48</v>
      </c>
      <c r="H98" s="34"/>
      <c r="I98" s="36" t="s">
        <v>47</v>
      </c>
      <c r="J98" s="34"/>
      <c r="K98" s="36" t="s">
        <v>46</v>
      </c>
      <c r="L98" s="34"/>
      <c r="M98" s="36" t="s">
        <v>45</v>
      </c>
      <c r="N98" s="34"/>
      <c r="O98" s="36" t="s">
        <v>44</v>
      </c>
      <c r="P98" s="34"/>
      <c r="Q98" s="35" t="s">
        <v>43</v>
      </c>
      <c r="R98" s="34"/>
    </row>
    <row r="99" spans="3:18" x14ac:dyDescent="0.2">
      <c r="C99" s="27"/>
      <c r="D99" s="27"/>
      <c r="E99" s="32" t="s">
        <v>42</v>
      </c>
      <c r="F99" s="31"/>
      <c r="G99" s="32" t="s">
        <v>14</v>
      </c>
      <c r="H99" s="31"/>
      <c r="I99" s="33">
        <v>-0.4</v>
      </c>
      <c r="J99" s="31"/>
      <c r="K99" s="32" t="s">
        <v>17</v>
      </c>
      <c r="L99" s="31"/>
      <c r="M99" s="32" t="s">
        <v>41</v>
      </c>
      <c r="N99" s="31"/>
      <c r="O99" s="32" t="s">
        <v>40</v>
      </c>
      <c r="P99" s="31"/>
      <c r="Q99" s="27" t="s">
        <v>40</v>
      </c>
      <c r="R99" s="31"/>
    </row>
    <row r="100" spans="3:18" x14ac:dyDescent="0.2">
      <c r="C100" s="27"/>
      <c r="D100" s="27"/>
      <c r="E100" s="32" t="s">
        <v>39</v>
      </c>
      <c r="F100" s="31"/>
      <c r="G100" s="32" t="s">
        <v>38</v>
      </c>
      <c r="H100" s="31"/>
      <c r="I100" s="33">
        <v>-0.43</v>
      </c>
      <c r="J100" s="31"/>
      <c r="K100" s="32" t="s">
        <v>37</v>
      </c>
      <c r="L100" s="31"/>
      <c r="M100" s="32" t="s">
        <v>12</v>
      </c>
      <c r="N100" s="31"/>
      <c r="O100" s="32" t="s">
        <v>36</v>
      </c>
      <c r="P100" s="31"/>
      <c r="Q100" s="27" t="s">
        <v>36</v>
      </c>
      <c r="R100" s="31"/>
    </row>
    <row r="101" spans="3:18" x14ac:dyDescent="0.2">
      <c r="C101" s="27"/>
      <c r="D101" s="27"/>
      <c r="E101" s="32" t="s">
        <v>35</v>
      </c>
      <c r="F101" s="31"/>
      <c r="G101" s="32" t="s">
        <v>34</v>
      </c>
      <c r="H101" s="31"/>
      <c r="I101" s="32" t="s">
        <v>33</v>
      </c>
      <c r="J101" s="31"/>
      <c r="K101" s="32" t="s">
        <v>32</v>
      </c>
      <c r="L101" s="31"/>
      <c r="M101" s="32" t="s">
        <v>31</v>
      </c>
      <c r="N101" s="31"/>
      <c r="O101" s="32" t="s">
        <v>12</v>
      </c>
      <c r="P101" s="31"/>
      <c r="Q101" s="27" t="s">
        <v>12</v>
      </c>
      <c r="R101" s="31"/>
    </row>
    <row r="102" spans="3:18" x14ac:dyDescent="0.2">
      <c r="C102" s="27"/>
      <c r="D102" s="27"/>
      <c r="E102" s="32" t="s">
        <v>30</v>
      </c>
      <c r="F102" s="31"/>
      <c r="G102" s="32" t="s">
        <v>15</v>
      </c>
      <c r="H102" s="31"/>
      <c r="I102" s="33">
        <v>-0.42</v>
      </c>
      <c r="J102" s="31"/>
      <c r="K102" s="32" t="s">
        <v>29</v>
      </c>
      <c r="L102" s="31"/>
      <c r="M102" s="32"/>
      <c r="N102" s="31"/>
      <c r="O102" s="32"/>
      <c r="P102" s="31"/>
      <c r="Q102" s="27" t="s">
        <v>28</v>
      </c>
      <c r="R102" s="31"/>
    </row>
    <row r="103" spans="3:18" x14ac:dyDescent="0.2">
      <c r="C103" s="27"/>
      <c r="D103" s="27"/>
      <c r="E103" s="32" t="s">
        <v>27</v>
      </c>
      <c r="F103" s="31"/>
      <c r="G103" s="32" t="s">
        <v>16</v>
      </c>
      <c r="H103" s="31"/>
      <c r="I103" s="32"/>
      <c r="J103" s="31"/>
      <c r="K103" s="32" t="s">
        <v>26</v>
      </c>
      <c r="L103" s="31"/>
      <c r="M103" s="32"/>
      <c r="N103" s="31"/>
      <c r="O103" s="32"/>
      <c r="P103" s="31"/>
      <c r="R103" s="31"/>
    </row>
    <row r="104" spans="3:18" x14ac:dyDescent="0.2">
      <c r="C104" s="27"/>
      <c r="D104" s="27"/>
      <c r="E104" s="32" t="s">
        <v>25</v>
      </c>
      <c r="F104" s="31"/>
      <c r="G104" s="32" t="s">
        <v>24</v>
      </c>
      <c r="H104" s="31"/>
      <c r="I104" s="32"/>
      <c r="J104" s="31"/>
      <c r="K104" s="32" t="s">
        <v>23</v>
      </c>
      <c r="L104" s="31"/>
      <c r="M104" s="32"/>
      <c r="N104" s="31"/>
      <c r="O104" s="32"/>
      <c r="P104" s="31"/>
      <c r="R104" s="31"/>
    </row>
    <row r="105" spans="3:18" x14ac:dyDescent="0.2">
      <c r="C105" s="27"/>
      <c r="D105" s="27"/>
      <c r="E105" s="32" t="s">
        <v>22</v>
      </c>
      <c r="F105" s="31"/>
      <c r="G105" s="32" t="s">
        <v>21</v>
      </c>
      <c r="H105" s="31"/>
      <c r="I105" s="32"/>
      <c r="J105" s="31"/>
      <c r="K105" s="32" t="s">
        <v>20</v>
      </c>
      <c r="L105" s="31"/>
      <c r="M105" s="32"/>
      <c r="N105" s="31"/>
      <c r="O105" s="32"/>
      <c r="P105" s="31"/>
      <c r="R105" s="31"/>
    </row>
    <row r="106" spans="3:18" x14ac:dyDescent="0.2">
      <c r="C106" s="27"/>
      <c r="D106" s="27"/>
      <c r="E106" s="32"/>
      <c r="F106" s="31"/>
      <c r="G106" s="32"/>
      <c r="H106" s="31"/>
      <c r="I106" s="32"/>
      <c r="J106" s="31"/>
      <c r="K106" s="32" t="s">
        <v>19</v>
      </c>
      <c r="L106" s="31"/>
      <c r="M106" s="32"/>
      <c r="N106" s="31"/>
      <c r="O106" s="32"/>
      <c r="P106" s="31"/>
      <c r="R106" s="31"/>
    </row>
    <row r="107" spans="3:18" x14ac:dyDescent="0.2">
      <c r="C107" s="27"/>
      <c r="D107" s="27"/>
      <c r="E107" s="32"/>
      <c r="F107" s="31"/>
      <c r="G107" s="32"/>
      <c r="H107" s="31"/>
      <c r="I107" s="32"/>
      <c r="J107" s="31"/>
      <c r="K107" s="32" t="s">
        <v>18</v>
      </c>
      <c r="L107" s="31"/>
      <c r="M107" s="32"/>
      <c r="N107" s="31"/>
      <c r="O107" s="32"/>
      <c r="P107" s="31"/>
      <c r="R107" s="31"/>
    </row>
    <row r="108" spans="3:18" ht="15" thickBot="1" x14ac:dyDescent="0.25">
      <c r="C108" s="27"/>
      <c r="D108" s="27"/>
      <c r="E108" s="30"/>
      <c r="F108" s="28"/>
      <c r="G108" s="30"/>
      <c r="H108" s="28"/>
      <c r="I108" s="30"/>
      <c r="J108" s="28"/>
      <c r="K108" s="30"/>
      <c r="L108" s="28"/>
      <c r="M108" s="30"/>
      <c r="N108" s="28"/>
      <c r="O108" s="30"/>
      <c r="P108" s="28"/>
      <c r="Q108" s="29"/>
      <c r="R108" s="28"/>
    </row>
    <row r="109" spans="3:18" x14ac:dyDescent="0.2">
      <c r="C109" s="27"/>
      <c r="D109" s="27"/>
      <c r="E109" s="27"/>
      <c r="F109" s="27"/>
      <c r="G109" s="27"/>
      <c r="H109" s="27"/>
      <c r="I109" s="27"/>
    </row>
    <row r="110" spans="3:18" x14ac:dyDescent="0.2">
      <c r="C110" s="27"/>
      <c r="D110" s="27"/>
      <c r="E110" s="27"/>
      <c r="F110" s="27"/>
      <c r="G110" s="27"/>
      <c r="H110" s="27"/>
      <c r="I110" s="27"/>
    </row>
    <row r="111" spans="3:18" x14ac:dyDescent="0.2">
      <c r="C111" s="27"/>
      <c r="D111" s="27"/>
      <c r="E111" s="27"/>
      <c r="F111" s="27"/>
      <c r="G111" s="27"/>
      <c r="H111" s="27"/>
      <c r="I111" s="27"/>
    </row>
    <row r="112" spans="3:18" x14ac:dyDescent="0.2">
      <c r="C112" s="27"/>
      <c r="D112" s="27"/>
      <c r="E112" s="27"/>
      <c r="F112" s="27"/>
      <c r="G112" s="27"/>
      <c r="H112" s="27"/>
      <c r="I112" s="27"/>
    </row>
    <row r="113" spans="3:9" x14ac:dyDescent="0.2">
      <c r="C113" s="27"/>
      <c r="D113" s="27"/>
      <c r="E113" s="27"/>
      <c r="F113" s="27"/>
      <c r="G113" s="27"/>
      <c r="H113" s="27"/>
      <c r="I113" s="27"/>
    </row>
    <row r="114" spans="3:9" x14ac:dyDescent="0.2">
      <c r="C114" s="27"/>
      <c r="D114" s="27"/>
      <c r="E114" s="27"/>
      <c r="F114" s="27"/>
      <c r="G114" s="27"/>
      <c r="H114" s="27"/>
      <c r="I114" s="27"/>
    </row>
    <row r="115" spans="3:9" x14ac:dyDescent="0.2">
      <c r="C115" s="27"/>
      <c r="D115" s="27"/>
      <c r="E115" s="27"/>
      <c r="F115" s="27"/>
      <c r="G115" s="27"/>
      <c r="H115" s="27"/>
      <c r="I115" s="27"/>
    </row>
    <row r="116" spans="3:9" x14ac:dyDescent="0.2">
      <c r="C116" s="27"/>
      <c r="D116" s="27"/>
      <c r="E116" s="27"/>
      <c r="F116" s="27"/>
      <c r="G116" s="27"/>
      <c r="H116" s="27"/>
      <c r="I116" s="27"/>
    </row>
    <row r="117" spans="3:9" x14ac:dyDescent="0.2">
      <c r="C117" s="27"/>
      <c r="D117" s="27"/>
      <c r="E117" s="27"/>
      <c r="F117" s="27"/>
      <c r="G117" s="27"/>
      <c r="H117" s="27"/>
      <c r="I117" s="27"/>
    </row>
    <row r="118" spans="3:9" x14ac:dyDescent="0.2">
      <c r="C118" s="27"/>
      <c r="D118" s="27"/>
      <c r="E118" s="27"/>
      <c r="F118" s="27"/>
      <c r="G118" s="27"/>
      <c r="H118" s="27"/>
      <c r="I118" s="27"/>
    </row>
  </sheetData>
  <mergeCells count="51">
    <mergeCell ref="W18:X18"/>
    <mergeCell ref="M60:O60"/>
    <mergeCell ref="P60:R60"/>
    <mergeCell ref="H60:H61"/>
    <mergeCell ref="J60:L60"/>
    <mergeCell ref="I60:I61"/>
    <mergeCell ref="C59:R59"/>
    <mergeCell ref="C60:C61"/>
    <mergeCell ref="D60:D61"/>
    <mergeCell ref="E60:E61"/>
    <mergeCell ref="F60:F61"/>
    <mergeCell ref="G60:G61"/>
    <mergeCell ref="AB3:AC3"/>
    <mergeCell ref="C2:E2"/>
    <mergeCell ref="F51:F52"/>
    <mergeCell ref="F53:F54"/>
    <mergeCell ref="G53:G54"/>
    <mergeCell ref="G51:G52"/>
    <mergeCell ref="Y5:Z5"/>
    <mergeCell ref="W6:X6"/>
    <mergeCell ref="Y6:Z6"/>
    <mergeCell ref="F9:F10"/>
    <mergeCell ref="C3:F3"/>
    <mergeCell ref="Y13:Z13"/>
    <mergeCell ref="Y17:Z17"/>
    <mergeCell ref="W17:X17"/>
    <mergeCell ref="Y16:Z16"/>
    <mergeCell ref="Y18:Z18"/>
    <mergeCell ref="W16:X16"/>
    <mergeCell ref="W13:X13"/>
    <mergeCell ref="W14:X14"/>
    <mergeCell ref="W15:X15"/>
    <mergeCell ref="Y14:Z14"/>
    <mergeCell ref="Y15:Z15"/>
    <mergeCell ref="W3:X3"/>
    <mergeCell ref="Y3:Z3"/>
    <mergeCell ref="V10:X10"/>
    <mergeCell ref="Y10:Z10"/>
    <mergeCell ref="Y12:Z12"/>
    <mergeCell ref="W7:X7"/>
    <mergeCell ref="Y7:Z7"/>
    <mergeCell ref="W8:X8"/>
    <mergeCell ref="Y8:Z8"/>
    <mergeCell ref="W4:X4"/>
    <mergeCell ref="Y4:Z4"/>
    <mergeCell ref="W5:X5"/>
    <mergeCell ref="G9:G10"/>
    <mergeCell ref="W11:X11"/>
    <mergeCell ref="W12:X12"/>
    <mergeCell ref="Y11:Z11"/>
    <mergeCell ref="V11:V12"/>
  </mergeCells>
  <phoneticPr fontId="36" type="noConversion"/>
  <conditionalFormatting sqref="V13:V19 Y20 J16 J18:J50">
    <cfRule type="cellIs" dxfId="33" priority="41" operator="between">
      <formula>"**"</formula>
      <formula>"**"</formula>
    </cfRule>
    <cfRule type="cellIs" dxfId="32" priority="42" operator="between">
      <formula>"*"</formula>
      <formula>"*"</formula>
    </cfRule>
  </conditionalFormatting>
  <conditionalFormatting sqref="W12">
    <cfRule type="cellIs" dxfId="31" priority="37" operator="equal">
      <formula>TRUE</formula>
    </cfRule>
    <cfRule type="cellIs" dxfId="30" priority="38" operator="equal">
      <formula>FALSE</formula>
    </cfRule>
  </conditionalFormatting>
  <conditionalFormatting sqref="Y12">
    <cfRule type="cellIs" dxfId="29" priority="35" operator="equal">
      <formula>TRUE</formula>
    </cfRule>
    <cfRule type="cellIs" dxfId="28" priority="36" operator="equal">
      <formula>FALSE</formula>
    </cfRule>
  </conditionalFormatting>
  <conditionalFormatting sqref="W13 W15 W17 Y13 Y15 Y17">
    <cfRule type="containsText" dxfId="27" priority="33" operator="containsText" text=".">
      <formula>NOT(ISERROR(SEARCH(".",W13)))</formula>
    </cfRule>
    <cfRule type="cellIs" dxfId="26" priority="34" operator="equal">
      <formula>FALSE</formula>
    </cfRule>
  </conditionalFormatting>
  <conditionalFormatting sqref="W14 W16 Y14 Y16 W18:W19 K15:K50 Z20 M15:M50 Y18:Y20">
    <cfRule type="containsBlanks" dxfId="25" priority="31">
      <formula>LEN(TRIM(K14))=0</formula>
    </cfRule>
    <cfRule type="cellIs" dxfId="24" priority="32" operator="equal">
      <formula>FALSE</formula>
    </cfRule>
  </conditionalFormatting>
  <conditionalFormatting sqref="G51:G52">
    <cfRule type="cellIs" dxfId="23" priority="29" operator="equal">
      <formula>TRUE</formula>
    </cfRule>
    <cfRule type="cellIs" dxfId="22" priority="30" operator="equal">
      <formula>FALSE</formula>
    </cfRule>
  </conditionalFormatting>
  <conditionalFormatting sqref="W19:Z19 W16 W14 K15:N50 Z20 Y14 Y16 W18 Y18">
    <cfRule type="cellIs" dxfId="21" priority="28" operator="equal">
      <formula>TRUE</formula>
    </cfRule>
  </conditionalFormatting>
  <conditionalFormatting sqref="Y10">
    <cfRule type="cellIs" dxfId="20" priority="26" operator="equal">
      <formula>TRUE</formula>
    </cfRule>
    <cfRule type="cellIs" dxfId="19" priority="27" operator="equal">
      <formula>FALSE</formula>
    </cfRule>
  </conditionalFormatting>
  <conditionalFormatting sqref="G53:G54">
    <cfRule type="cellIs" dxfId="18" priority="24" operator="equal">
      <formula>TRUE</formula>
    </cfRule>
    <cfRule type="cellIs" dxfId="17" priority="25" operator="equal">
      <formula>FALSE</formula>
    </cfRule>
  </conditionalFormatting>
  <conditionalFormatting sqref="D4:D5 D7 F4:F6">
    <cfRule type="containsBlanks" dxfId="16" priority="23">
      <formula>LEN(TRIM(D4))=0</formula>
    </cfRule>
  </conditionalFormatting>
  <conditionalFormatting sqref="V3:V8">
    <cfRule type="cellIs" dxfId="15" priority="21" operator="between">
      <formula>"**"</formula>
      <formula>"**"</formula>
    </cfRule>
    <cfRule type="cellIs" dxfId="14" priority="22" operator="between">
      <formula>"*"</formula>
      <formula>"*"</formula>
    </cfRule>
  </conditionalFormatting>
  <conditionalFormatting sqref="W3 W5 W7 Y3 Y5 Y7">
    <cfRule type="containsText" dxfId="13" priority="17" operator="containsText" text=".">
      <formula>NOT(ISERROR(SEARCH(".",W3)))</formula>
    </cfRule>
    <cfRule type="cellIs" dxfId="12" priority="18" operator="equal">
      <formula>FALSE</formula>
    </cfRule>
  </conditionalFormatting>
  <conditionalFormatting sqref="W4 W6 Y4 Y6 Y8 W8">
    <cfRule type="containsBlanks" dxfId="11" priority="15">
      <formula>LEN(TRIM(W4))=0</formula>
    </cfRule>
    <cfRule type="cellIs" dxfId="10" priority="16" operator="equal">
      <formula>FALSE</formula>
    </cfRule>
  </conditionalFormatting>
  <conditionalFormatting sqref="W8 W6 W4 Y4 Y6 Y8">
    <cfRule type="cellIs" dxfId="9" priority="14" operator="equal">
      <formula>TRUE</formula>
    </cfRule>
  </conditionalFormatting>
  <conditionalFormatting sqref="V2">
    <cfRule type="cellIs" dxfId="8" priority="12" operator="between">
      <formula>"**"</formula>
      <formula>"**"</formula>
    </cfRule>
    <cfRule type="cellIs" dxfId="7" priority="13" operator="between">
      <formula>"*"</formula>
      <formula>"*"</formula>
    </cfRule>
  </conditionalFormatting>
  <conditionalFormatting sqref="F7">
    <cfRule type="containsBlanks" dxfId="6" priority="1">
      <formula>LEN(TRIM(F7))=0</formula>
    </cfRule>
  </conditionalFormatting>
  <dataValidations count="7">
    <dataValidation type="list" allowBlank="1" sqref="F5">
      <formula1>$K$99:$K$107</formula1>
    </dataValidation>
    <dataValidation type="list" allowBlank="1" sqref="F4">
      <formula1>$I$99:$I$103</formula1>
    </dataValidation>
    <dataValidation type="list" allowBlank="1" sqref="D7">
      <formula1>$G$99:$G$107</formula1>
    </dataValidation>
    <dataValidation type="list" allowBlank="1" sqref="D5">
      <formula1>$E$99:$E$108</formula1>
    </dataValidation>
    <dataValidation type="list" allowBlank="1" sqref="F6">
      <formula1>$M$99:$M$102</formula1>
    </dataValidation>
    <dataValidation type="list" allowBlank="1" sqref="D10">
      <formula1>$O$99:$O$101</formula1>
    </dataValidation>
    <dataValidation type="list" allowBlank="1" sqref="E10">
      <formula1>$Q$99:$Q$102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QCButton">
          <controlPr defaultSize="0" autoLine="0" r:id="rId5">
            <anchor moveWithCells="1">
              <from>
                <xdr:col>11</xdr:col>
                <xdr:colOff>1019175</xdr:colOff>
                <xdr:row>12</xdr:row>
                <xdr:rowOff>114300</xdr:rowOff>
              </from>
              <to>
                <xdr:col>14</xdr:col>
                <xdr:colOff>161925</xdr:colOff>
                <xdr:row>14</xdr:row>
                <xdr:rowOff>0</xdr:rowOff>
              </to>
            </anchor>
          </controlPr>
        </control>
      </mc:Choice>
      <mc:Fallback>
        <control shapeId="1030" r:id="rId4" name="QCButton"/>
      </mc:Fallback>
    </mc:AlternateContent>
    <mc:AlternateContent xmlns:mc="http://schemas.openxmlformats.org/markup-compatibility/2006">
      <mc:Choice Requires="x14">
        <control shapeId="1027" r:id="rId6" name="CommandButton3">
          <controlPr defaultSize="0" autoLine="0" r:id="rId7">
            <anchor moveWithCells="1">
              <from>
                <xdr:col>11</xdr:col>
                <xdr:colOff>752475</xdr:colOff>
                <xdr:row>8</xdr:row>
                <xdr:rowOff>152400</xdr:rowOff>
              </from>
              <to>
                <xdr:col>14</xdr:col>
                <xdr:colOff>533400</xdr:colOff>
                <xdr:row>11</xdr:row>
                <xdr:rowOff>190500</xdr:rowOff>
              </to>
            </anchor>
          </controlPr>
        </control>
      </mc:Choice>
      <mc:Fallback>
        <control shapeId="1027" r:id="rId6" name="CommandButton3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11</xdr:col>
                <xdr:colOff>762000</xdr:colOff>
                <xdr:row>4</xdr:row>
                <xdr:rowOff>219075</xdr:rowOff>
              </from>
              <to>
                <xdr:col>14</xdr:col>
                <xdr:colOff>533400</xdr:colOff>
                <xdr:row>8</xdr:row>
                <xdr:rowOff>47625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NewExpButton">
          <controlPr defaultSize="0" autoLine="0" r:id="rId11">
            <anchor moveWithCells="1">
              <from>
                <xdr:col>11</xdr:col>
                <xdr:colOff>714375</xdr:colOff>
                <xdr:row>2</xdr:row>
                <xdr:rowOff>142875</xdr:rowOff>
              </from>
              <to>
                <xdr:col>18</xdr:col>
                <xdr:colOff>28575</xdr:colOff>
                <xdr:row>4</xdr:row>
                <xdr:rowOff>161925</xdr:rowOff>
              </to>
            </anchor>
          </controlPr>
        </control>
      </mc:Choice>
      <mc:Fallback>
        <control shapeId="1025" r:id="rId10" name="NewExpButton"/>
      </mc:Fallback>
    </mc:AlternateContent>
    <mc:AlternateContent xmlns:mc="http://schemas.openxmlformats.org/markup-compatibility/2006">
      <mc:Choice Requires="x14">
        <control shapeId="1032" r:id="rId12" name="SaveTastingFormButton">
          <controlPr defaultSize="0" autoLine="0" r:id="rId13">
            <anchor moveWithCells="1">
              <from>
                <xdr:col>11</xdr:col>
                <xdr:colOff>609600</xdr:colOff>
                <xdr:row>15</xdr:row>
                <xdr:rowOff>28575</xdr:rowOff>
              </from>
              <to>
                <xdr:col>14</xdr:col>
                <xdr:colOff>628650</xdr:colOff>
                <xdr:row>18</xdr:row>
                <xdr:rowOff>76200</xdr:rowOff>
              </to>
            </anchor>
          </controlPr>
        </control>
      </mc:Choice>
      <mc:Fallback>
        <control shapeId="1032" r:id="rId12" name="SaveTastingForm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9" operator="containsText" id="{1EE1502C-BD90-4B07-8B7A-609BE6787AB1}">
            <xm:f>NOT(ISERROR(SEARCH("FALSE",J13)))</xm:f>
            <xm:f>"FALSE"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40" operator="containsText" id="{F1E23C77-FA29-4C3D-8932-67518819D7FC}">
            <xm:f>NOT(ISERROR(SEARCH("TRUE",J13)))</xm:f>
            <xm:f>"TRUE"</xm:f>
            <x14:dxf>
              <fill>
                <patternFill>
                  <bgColor rgb="FF00B050"/>
                </patternFill>
              </fill>
            </x14:dxf>
          </x14:cfRule>
          <xm:sqref>V13:V19 Y20 J18:J50 J16</xm:sqref>
        </x14:conditionalFormatting>
        <x14:conditionalFormatting xmlns:xm="http://schemas.microsoft.com/office/excel/2006/main">
          <x14:cfRule type="containsText" priority="19" operator="containsText" id="{28AFFBCD-D2B1-4D28-AD86-EB35EEED16F5}">
            <xm:f>NOT(ISERROR(SEARCH("FALSE",V3)))</xm:f>
            <xm:f>"FALSE"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20" operator="containsText" id="{EB9A9717-E5B0-4C0D-92DD-CA0E580B4CF7}">
            <xm:f>NOT(ISERROR(SEARCH("TRUE",V3)))</xm:f>
            <xm:f>"TRUE"</xm:f>
            <x14:dxf>
              <fill>
                <patternFill>
                  <bgColor rgb="FF00B050"/>
                </patternFill>
              </fill>
            </x14:dxf>
          </x14:cfRule>
          <xm:sqref>V3:V8</xm:sqref>
        </x14:conditionalFormatting>
        <x14:conditionalFormatting xmlns:xm="http://schemas.microsoft.com/office/excel/2006/main">
          <x14:cfRule type="containsText" priority="10" operator="containsText" id="{42AF6432-2858-41A1-848C-0972F384F728}">
            <xm:f>NOT(ISERROR(SEARCH("FALSE",V2)))</xm:f>
            <xm:f>"FALSE"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11" operator="containsText" id="{A02D52B4-3EA3-4669-899E-B4E7EE05D83C}">
            <xm:f>NOT(ISERROR(SEARCH("TRUE",V2)))</xm:f>
            <xm:f>"TRUE"</xm:f>
            <x14:dxf>
              <fill>
                <patternFill>
                  <bgColor rgb="FF00B050"/>
                </patternFill>
              </fill>
            </x14:dxf>
          </x14:cfRule>
          <xm:sqref>V2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4046B74326DD54E899E19033B90BC80" ma:contentTypeVersion="13" ma:contentTypeDescription="Create a new document." ma:contentTypeScope="" ma:versionID="5da0bd3ead885606c9901af0e2808f4a">
  <xsd:schema xmlns:xsd="http://www.w3.org/2001/XMLSchema" xmlns:xs="http://www.w3.org/2001/XMLSchema" xmlns:p="http://schemas.microsoft.com/office/2006/metadata/properties" xmlns:ns3="2034f782-862b-4ea3-a942-eb8b46b09ad7" xmlns:ns4="0d6dafaf-2fbb-4bf5-87b6-dad7e38cd10b" targetNamespace="http://schemas.microsoft.com/office/2006/metadata/properties" ma:root="true" ma:fieldsID="c6e910561546808e7b765e2f6758b459" ns3:_="" ns4:_="">
    <xsd:import namespace="2034f782-862b-4ea3-a942-eb8b46b09ad7"/>
    <xsd:import namespace="0d6dafaf-2fbb-4bf5-87b6-dad7e38cd10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34f782-862b-4ea3-a942-eb8b46b09a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6dafaf-2fbb-4bf5-87b6-dad7e38cd10b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7EBE592-F412-49FF-8045-FE404CD5F975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0d6dafaf-2fbb-4bf5-87b6-dad7e38cd10b"/>
    <ds:schemaRef ds:uri="http://purl.org/dc/elements/1.1/"/>
    <ds:schemaRef ds:uri="2034f782-862b-4ea3-a942-eb8b46b09ad7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62F894D-5555-44FA-858A-830E0DEFE7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92B5176-E64D-441B-BC60-EDC4ED0741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034f782-862b-4ea3-a942-eb8b46b09ad7"/>
    <ds:schemaRef ds:uri="0d6dafaf-2fbb-4bf5-87b6-dad7e38cd1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Daily Tastings Plan</vt:lpstr>
      <vt:lpstr>Choose the Sweetest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Gal Shimoni</dc:creator>
  <cp:keywords/>
  <dc:description/>
  <cp:lastModifiedBy>Alex T.</cp:lastModifiedBy>
  <cp:revision/>
  <cp:lastPrinted>2020-05-26T06:38:29Z</cp:lastPrinted>
  <dcterms:created xsi:type="dcterms:W3CDTF">2018-11-25T13:01:00Z</dcterms:created>
  <dcterms:modified xsi:type="dcterms:W3CDTF">2022-07-23T22:28:57Z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0x01010004046B74326DD54E899E19033B90BC80</vt:lpwstr>
  </property>
</Properties>
</file>